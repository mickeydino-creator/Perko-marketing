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Summary" sheetId="2" state="visible" r:id="rId2"/>
  </sheets>
  <definedNames>
    <definedName name="_xlnm._FilterDatabase" localSheetId="0" hidden="1">'Prospects'!$A$3:$X$23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1130F"/>
      <sz val="15"/>
    </font>
    <font>
      <name val="Arial"/>
      <color rgb="00303626"/>
      <sz val="10"/>
    </font>
    <font>
      <name val="Arial"/>
      <b val="1"/>
      <color rgb="00D7FF35"/>
      <sz val="11"/>
    </font>
    <font>
      <name val="Arial"/>
      <color rgb="0011130F"/>
      <sz val="10"/>
    </font>
    <font>
      <name val="Arial"/>
      <color rgb="001F4E00"/>
      <sz val="10"/>
      <u val="single"/>
    </font>
    <font>
      <name val="Arial"/>
      <i val="1"/>
      <color rgb="00303626"/>
      <sz val="9"/>
    </font>
    <font>
      <name val="Arial"/>
      <b val="1"/>
      <color rgb="00D7FF35"/>
      <sz val="12"/>
    </font>
    <font>
      <name val="Arial"/>
      <b val="1"/>
      <color rgb="0011130F"/>
      <sz val="10"/>
    </font>
  </fonts>
  <fills count="5">
    <fill>
      <patternFill/>
    </fill>
    <fill>
      <patternFill patternType="gray125"/>
    </fill>
    <fill>
      <patternFill patternType="solid">
        <fgColor rgb="00D7FF35"/>
      </patternFill>
    </fill>
    <fill>
      <patternFill patternType="solid">
        <fgColor rgb="0011130F"/>
      </patternFill>
    </fill>
    <fill>
      <patternFill patternType="solid">
        <fgColor rgb="00F8F8F4"/>
      </patternFill>
    </fill>
  </fills>
  <borders count="2">
    <border>
      <left/>
      <right/>
      <top/>
      <bottom/>
      <diagonal/>
    </border>
    <border>
      <left style="thin">
        <color rgb="00D8DACE"/>
      </left>
      <right style="thin">
        <color rgb="00D8DACE"/>
      </right>
      <top style="thin">
        <color rgb="00D8DACE"/>
      </top>
      <bottom style="thin">
        <color rgb="00D8DACE"/>
      </bottom>
    </border>
  </borders>
  <cellStyleXfs count="1">
    <xf numFmtId="0" fontId="0" fillId="0" borderId="0"/>
  </cellStyleXfs>
  <cellXfs count="21">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right" vertical="top" wrapText="1" readingOrder="2"/>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0" borderId="1" applyAlignment="1" pivotButton="0" quotePrefix="0" xfId="0">
      <alignment horizontal="right" vertical="top" wrapText="1" readingOrder="2"/>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6" fillId="0" borderId="0" pivotButton="0" quotePrefix="0" xfId="0"/>
    <xf numFmtId="0" fontId="7" fillId="3" borderId="0" pivotButton="0" quotePrefix="0" xfId="0"/>
    <xf numFmtId="0" fontId="0" fillId="3" borderId="0" pivotButton="0" quotePrefix="0" xfId="0"/>
    <xf numFmtId="0" fontId="8" fillId="0" borderId="1" pivotButton="0" quotePrefix="0" xfId="0"/>
    <xf numFmtId="0" fontId="4" fillId="4" borderId="1" pivotButton="0" quotePrefix="0" xfId="0"/>
    <xf numFmtId="9" fontId="4" fillId="4" borderId="1" pivotButton="0" quotePrefix="0" xfId="0"/>
    <xf numFmtId="0" fontId="4" fillId="0" borderId="1" pivotButton="0" quotePrefix="0" xfId="0"/>
    <xf numFmtId="9" fontId="4" fillId="0" borderId="1" pivotButton="0" quotePrefix="0" xfId="0"/>
  </cellXfs>
  <cellStyles count="1">
    <cellStyle name="Normal" xfId="0" builtinId="0" hidden="0"/>
  </cellStyles>
  <dxfs count="3">
    <dxf>
      <font>
        <b val="1"/>
        <color rgb="0011130F"/>
      </font>
      <fill>
        <patternFill patternType="solid">
          <fgColor rgb="00D7FF35"/>
        </patternFill>
      </fill>
    </dxf>
    <dxf>
      <font>
        <color rgb="0011130F"/>
      </font>
      <fill>
        <patternFill patternType="solid">
          <fgColor rgb="00EEFFB0"/>
        </patternFill>
      </fill>
    </dxf>
    <dxf>
      <font>
        <b val="1"/>
        <color rgb="0011130F"/>
      </font>
      <fill>
        <patternFill patternType="solid">
          <fgColor rgb="00BCE82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irmacoffee.com" TargetMode="External" Id="rId1"/><Relationship Type="http://schemas.openxmlformats.org/officeDocument/2006/relationships/hyperlink" Target="https://www.instagram.com/birmacoffee" TargetMode="External" Id="rId2"/><Relationship Type="http://schemas.openxmlformats.org/officeDocument/2006/relationships/hyperlink" Target="https://www.facebook.com/birmacoffee" TargetMode="External" Id="rId3"/><Relationship Type="http://schemas.openxmlformats.org/officeDocument/2006/relationships/hyperlink" Target="https://birmacoffee.com" TargetMode="External" Id="rId4"/><Relationship Type="http://schemas.openxmlformats.org/officeDocument/2006/relationships/hyperlink" Target="https://birmacoffee.com" TargetMode="External" Id="rId5"/><Relationship Type="http://schemas.openxmlformats.org/officeDocument/2006/relationships/hyperlink" Target="mailto:kalocafe@gmail.com" TargetMode="External" Id="rId6"/><Relationship Type="http://schemas.openxmlformats.org/officeDocument/2006/relationships/hyperlink" Target="https://www.kalocafe.co.il/" TargetMode="External" Id="rId7"/><Relationship Type="http://schemas.openxmlformats.org/officeDocument/2006/relationships/hyperlink" Target="https://www.instagram.com/kalocafejerusalem" TargetMode="External" Id="rId8"/><Relationship Type="http://schemas.openxmlformats.org/officeDocument/2006/relationships/hyperlink" Target="https://www.facebook.com/kalocafe/" TargetMode="External" Id="rId9"/><Relationship Type="http://schemas.openxmlformats.org/officeDocument/2006/relationships/hyperlink" Target="https://he.wikipedia.org/wiki/%D7%93%D7%A8%D7%9A_%D7%91%D7%99%D7%AA_%D7%9C%D7%97%D7%9D" TargetMode="External" Id="rId10"/><Relationship Type="http://schemas.openxmlformats.org/officeDocument/2006/relationships/hyperlink" Target="https://www.kalocafe.co.il/contact-us/" TargetMode="External" Id="rId11"/><Relationship Type="http://schemas.openxmlformats.org/officeDocument/2006/relationships/hyperlink" Target="mailto:coffeemill99@gmail.com" TargetMode="External" Id="rId12"/><Relationship Type="http://schemas.openxmlformats.org/officeDocument/2006/relationships/hyperlink" Target="https://www.thecoffeemill.co.il/en" TargetMode="External" Id="rId13"/><Relationship Type="http://schemas.openxmlformats.org/officeDocument/2006/relationships/hyperlink" Target="https://www.instagram.com/thecoffeemillil" TargetMode="External" Id="rId14"/><Relationship Type="http://schemas.openxmlformats.org/officeDocument/2006/relationships/hyperlink" Target="https://www.facebook.com/coffeemill99" TargetMode="External" Id="rId15"/><Relationship Type="http://schemas.openxmlformats.org/officeDocument/2006/relationships/hyperlink" Target="https://www.thecoffeemill.co.il/en/about" TargetMode="External" Id="rId16"/><Relationship Type="http://schemas.openxmlformats.org/officeDocument/2006/relationships/hyperlink" Target="https://www.thecoffeemill.co.il/en/about" TargetMode="External" Id="rId17"/><Relationship Type="http://schemas.openxmlformats.org/officeDocument/2006/relationships/hyperlink" Target="https://casalavi.webflow.io/" TargetMode="External" Id="rId18"/><Relationship Type="http://schemas.openxmlformats.org/officeDocument/2006/relationships/hyperlink" Target="https://www.instagram.com/casalavicafe" TargetMode="External" Id="rId19"/><Relationship Type="http://schemas.openxmlformats.org/officeDocument/2006/relationships/hyperlink" Target="https://casalavi.webflow.io/" TargetMode="External" Id="rId20"/><Relationship Type="http://schemas.openxmlformats.org/officeDocument/2006/relationships/hyperlink" Target="https://www.rest.co.il/rest/80359561/" TargetMode="External" Id="rId21"/><Relationship Type="http://schemas.openxmlformats.org/officeDocument/2006/relationships/hyperlink" Target="https://emekflowers.co.il/" TargetMode="External" Id="rId22"/><Relationship Type="http://schemas.openxmlformats.org/officeDocument/2006/relationships/hyperlink" Target="https://emekflowers.co.il/" TargetMode="External" Id="rId23"/><Relationship Type="http://schemas.openxmlformats.org/officeDocument/2006/relationships/hyperlink" Target="https://emekflowers.co.il/" TargetMode="External" Id="rId24"/><Relationship Type="http://schemas.openxmlformats.org/officeDocument/2006/relationships/hyperlink" Target="https://wolt.com/he/isr/jerusalem/venue/itziks-place" TargetMode="External" Id="rId25"/><Relationship Type="http://schemas.openxmlformats.org/officeDocument/2006/relationships/hyperlink" Target="https://www.rest.co.il/rest/80214546/" TargetMode="External" Id="rId26"/><Relationship Type="http://schemas.openxmlformats.org/officeDocument/2006/relationships/hyperlink" Target="https://www.rest.co.il/rest/80214546/" TargetMode="External" Id="rId27"/><Relationship Type="http://schemas.openxmlformats.org/officeDocument/2006/relationships/hyperlink" Target="https://tziga.co.il/" TargetMode="External" Id="rId28"/><Relationship Type="http://schemas.openxmlformats.org/officeDocument/2006/relationships/hyperlink" Target="https://wolt.com/he/isr/jerusalem/restaurant/tziga-ice-cream" TargetMode="External" Id="rId29"/><Relationship Type="http://schemas.openxmlformats.org/officeDocument/2006/relationships/hyperlink" Target="https://tziga.co.il/" TargetMode="External" Id="rId30"/><Relationship Type="http://schemas.openxmlformats.org/officeDocument/2006/relationships/hyperlink" Target="https://tziga.co.il/" TargetMode="External" Id="rId31"/><Relationship Type="http://schemas.openxmlformats.org/officeDocument/2006/relationships/hyperlink" Target="https://www.facebook.com/bresaola.jlm/" TargetMode="External" Id="rId32"/><Relationship Type="http://schemas.openxmlformats.org/officeDocument/2006/relationships/hyperlink" Target="https://wolt.com/he/isr/jerusalem/restaurant/bresaola" TargetMode="External" Id="rId33"/><Relationship Type="http://schemas.openxmlformats.org/officeDocument/2006/relationships/hyperlink" Target="https://www.d.co.il/80361096/30455/" TargetMode="External" Id="rId34"/><Relationship Type="http://schemas.openxmlformats.org/officeDocument/2006/relationships/hyperlink" Target="mailto:erezprachim@gmail.com" TargetMode="External" Id="rId35"/><Relationship Type="http://schemas.openxmlformats.org/officeDocument/2006/relationships/hyperlink" Target="https://erez-flowers.co.il/" TargetMode="External" Id="rId36"/><Relationship Type="http://schemas.openxmlformats.org/officeDocument/2006/relationships/hyperlink" Target="https://wolt.com/en/isr/jerusalem/venue/erezer-emek-refaim" TargetMode="External" Id="rId37"/><Relationship Type="http://schemas.openxmlformats.org/officeDocument/2006/relationships/hyperlink" Target="https://erez-flowers.co.il/store/" TargetMode="External" Id="rId38"/><Relationship Type="http://schemas.openxmlformats.org/officeDocument/2006/relationships/hyperlink" Target="https://erez-flowers.co.il/" TargetMode="External" Id="rId39"/><Relationship Type="http://schemas.openxmlformats.org/officeDocument/2006/relationships/hyperlink" Target="mailto:info@floraflower.co.il" TargetMode="External" Id="rId40"/><Relationship Type="http://schemas.openxmlformats.org/officeDocument/2006/relationships/hyperlink" Target="https://www.floraflower.co.il/" TargetMode="External" Id="rId41"/><Relationship Type="http://schemas.openxmlformats.org/officeDocument/2006/relationships/hyperlink" Target="https://www.floraflower.co.il/" TargetMode="External" Id="rId42"/><Relationship Type="http://schemas.openxmlformats.org/officeDocument/2006/relationships/hyperlink" Target="https://www.floraflower.co.il/" TargetMode="External" Id="rId43"/><Relationship Type="http://schemas.openxmlformats.org/officeDocument/2006/relationships/hyperlink" Target="https://www.grand-cafe.co.il/" TargetMode="External" Id="rId44"/><Relationship Type="http://schemas.openxmlformats.org/officeDocument/2006/relationships/hyperlink" Target="https://www.instagram.com/grand.cafe_/" TargetMode="External" Id="rId45"/><Relationship Type="http://schemas.openxmlformats.org/officeDocument/2006/relationships/hyperlink" Target="https://www.facebook.com/grandcafe70" TargetMode="External" Id="rId46"/><Relationship Type="http://schemas.openxmlformats.org/officeDocument/2006/relationships/hyperlink" Target="https://jewishlink.news/a-jerusalem-restaurant-to-remember-in-baka-the-grand-cafe/" TargetMode="External" Id="rId47"/><Relationship Type="http://schemas.openxmlformats.org/officeDocument/2006/relationships/hyperlink" Target="https://www.grand-cafe.co.il/" TargetMode="External" Id="rId48"/><Relationship Type="http://schemas.openxmlformats.org/officeDocument/2006/relationships/hyperlink" Target="https://lecharolais.co.il/" TargetMode="External" Id="rId49"/><Relationship Type="http://schemas.openxmlformats.org/officeDocument/2006/relationships/hyperlink" Target="https://www.facebook.com/lecharolaisjerusalem/" TargetMode="External" Id="rId50"/><Relationship Type="http://schemas.openxmlformats.org/officeDocument/2006/relationships/hyperlink" Target="https://lecharolais.co.il/" TargetMode="External" Id="rId51"/><Relationship Type="http://schemas.openxmlformats.org/officeDocument/2006/relationships/hyperlink" Target="https://lecharolais.co.il/" TargetMode="External" Id="rId52"/><Relationship Type="http://schemas.openxmlformats.org/officeDocument/2006/relationships/hyperlink" Target="https://www.rest.co.il/rest/80209734/" TargetMode="External" Id="rId53"/><Relationship Type="http://schemas.openxmlformats.org/officeDocument/2006/relationships/hyperlink" Target="https://www.rest.co.il/rest/80209734/" TargetMode="External" Id="rId54"/><Relationship Type="http://schemas.openxmlformats.org/officeDocument/2006/relationships/hyperlink" Target="https://wolt.com/en/isr/jerusalem/restaurant/buchmans-diner" TargetMode="External" Id="rId55"/><Relationship Type="http://schemas.openxmlformats.org/officeDocument/2006/relationships/hyperlink" Target="https://jpost.com/food-recipes/article-829474" TargetMode="External" Id="rId56"/><Relationship Type="http://schemas.openxmlformats.org/officeDocument/2006/relationships/hyperlink" Target="https://jpost.com/food-recipes/article-829474" TargetMode="External" Id="rId57"/><Relationship Type="http://schemas.openxmlformats.org/officeDocument/2006/relationships/hyperlink" Target="https://kumkumteahouse.com/" TargetMode="External" Id="rId58"/><Relationship Type="http://schemas.openxmlformats.org/officeDocument/2006/relationships/hyperlink" Target="https://www.instagram.com/kumkum.tea.house" TargetMode="External" Id="rId59"/><Relationship Type="http://schemas.openxmlformats.org/officeDocument/2006/relationships/hyperlink" Target="https://www.timesofisrael.com/elisheva-levy-jerusalems-fairy-godmother/" TargetMode="External" Id="rId60"/><Relationship Type="http://schemas.openxmlformats.org/officeDocument/2006/relationships/hyperlink" Target="https://kumkumteahouse.com/" TargetMode="External" Id="rId61"/><Relationship Type="http://schemas.openxmlformats.org/officeDocument/2006/relationships/hyperlink" Target="https://www.itraveljerusalem.com/rst/focaccia-moshava/" TargetMode="External" Id="rId62"/><Relationship Type="http://schemas.openxmlformats.org/officeDocument/2006/relationships/hyperlink" Target="https://www.rest.co.il/restaurants/jerusalem/emek-refaim/" TargetMode="External" Id="rId63"/><Relationship Type="http://schemas.openxmlformats.org/officeDocument/2006/relationships/hyperlink" Target="https://www.rest.co.il/rest/80164067/" TargetMode="External" Id="rId64"/><Relationship Type="http://schemas.openxmlformats.org/officeDocument/2006/relationships/hyperlink" Target="https://www.rest.co.il/rest/80164067/" TargetMode="External" Id="rId65"/><Relationship Type="http://schemas.openxmlformats.org/officeDocument/2006/relationships/hyperlink" Target="https://www.rest.co.il/rest/80195583/" TargetMode="External" Id="rId66"/><Relationship Type="http://schemas.openxmlformats.org/officeDocument/2006/relationships/hyperlink" Target="https://www.rest.co.il/rest/80195583/" TargetMode="External" Id="rId67"/><Relationship Type="http://schemas.openxmlformats.org/officeDocument/2006/relationships/hyperlink" Target="mailto:barbshaw@gmail.com" TargetMode="External" Id="rId68"/><Relationship Type="http://schemas.openxmlformats.org/officeDocument/2006/relationships/hyperlink" Target="https://www.barbarashawgifts.com/" TargetMode="External" Id="rId69"/><Relationship Type="http://schemas.openxmlformats.org/officeDocument/2006/relationships/hyperlink" Target="https://www.barbarashawgifts.com/contact-us/" TargetMode="External" Id="rId70"/><Relationship Type="http://schemas.openxmlformats.org/officeDocument/2006/relationships/hyperlink" Target="https://www.barbarashawgifts.com/contact-us/" TargetMode="External" Id="rId71"/><Relationship Type="http://schemas.openxmlformats.org/officeDocument/2006/relationships/hyperlink" Target="mailto:stavjewelry@gmail.com" TargetMode="External" Id="rId72"/><Relationship Type="http://schemas.openxmlformats.org/officeDocument/2006/relationships/hyperlink" Target="http://www.stavjewelry.com/" TargetMode="External" Id="rId73"/><Relationship Type="http://schemas.openxmlformats.org/officeDocument/2006/relationships/hyperlink" Target="https://www.instagram.com/stav.jewelry" TargetMode="External" Id="rId74"/><Relationship Type="http://schemas.openxmlformats.org/officeDocument/2006/relationships/hyperlink" Target="https://www.facebook.com/stavjewelry" TargetMode="External" Id="rId75"/><Relationship Type="http://schemas.openxmlformats.org/officeDocument/2006/relationships/hyperlink" Target="http://www.stavjewelry.com/" TargetMode="External" Id="rId76"/><Relationship Type="http://schemas.openxmlformats.org/officeDocument/2006/relationships/hyperlink" Target="http://www.stavjewelry.com/" TargetMode="External" Id="rId77"/></Relationships>
</file>

<file path=xl/worksheets/sheet1.xml><?xml version="1.0" encoding="utf-8"?>
<worksheet xmlns="http://schemas.openxmlformats.org/spreadsheetml/2006/main">
  <sheetPr>
    <outlinePr summaryBelow="1" summaryRight="1"/>
    <pageSetUpPr/>
  </sheetPr>
  <dimension ref="A1:X2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8" customWidth="1" min="3" max="3"/>
    <col width="16" customWidth="1" min="4" max="4"/>
    <col width="26" customWidth="1" min="5" max="5"/>
    <col width="17" customWidth="1" min="6" max="6"/>
    <col width="26" customWidth="1" min="7" max="7"/>
    <col width="28" customWidth="1" min="8" max="8"/>
    <col width="28" customWidth="1" min="9" max="9"/>
    <col width="28" customWidth="1" min="10" max="10"/>
    <col width="18" customWidth="1" min="11" max="11"/>
    <col width="16" customWidth="1" min="12" max="12"/>
    <col width="42" customWidth="1" min="13" max="13"/>
    <col width="48" customWidth="1" min="14" max="14"/>
    <col width="13" customWidth="1" min="15" max="15"/>
    <col width="11" customWidth="1" min="16" max="16"/>
    <col width="17" customWidth="1" min="17" max="17"/>
    <col width="24" customWidth="1" min="18" max="18"/>
    <col width="30" customWidth="1" min="19" max="19"/>
    <col width="30" customWidth="1" min="20" max="20"/>
    <col width="12" customWidth="1" min="21" max="21"/>
    <col width="14" customWidth="1" min="22" max="22"/>
    <col width="44" customWidth="1" min="23" max="23"/>
    <col width="60" customWidth="1" min="24" max="24"/>
  </cols>
  <sheetData>
    <row r="1" ht="28" customHeight="1">
      <c r="A1" s="1" t="inlineStr">
        <is>
          <t>Perko - Local Business Prospects, Jerusalem (Emek Refaim &amp; Derech Beit Lehem)</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ht="20" customHeight="1">
      <c r="A2" s="3" t="inlineStr">
        <is>
          <t>Research list for the Perko early-access pilot. 20 businesses. Prospects only: none has agreed to participate. Contact details are public business details as published; blanks mean not verified.</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ht="36" customHeight="1">
      <c r="A3" s="4" t="inlineStr">
        <is>
          <t>Business Name (Hebrew)</t>
        </is>
      </c>
      <c r="B3" s="4" t="inlineStr">
        <is>
          <t>English Name</t>
        </is>
      </c>
      <c r="C3" s="4" t="inlineStr">
        <is>
          <t>Business Category</t>
        </is>
      </c>
      <c r="D3" s="4" t="inlineStr">
        <is>
          <t>Street</t>
        </is>
      </c>
      <c r="E3" s="4" t="inlineStr">
        <is>
          <t>Full Address</t>
        </is>
      </c>
      <c r="F3" s="4" t="inlineStr">
        <is>
          <t>Public Business Phone</t>
        </is>
      </c>
      <c r="G3" s="4" t="inlineStr">
        <is>
          <t>Public Business Email</t>
        </is>
      </c>
      <c r="H3" s="4" t="inlineStr">
        <is>
          <t>Official Website</t>
        </is>
      </c>
      <c r="I3" s="4" t="inlineStr">
        <is>
          <t>Instagram Profile</t>
        </is>
      </c>
      <c r="J3" s="4" t="inlineStr">
        <is>
          <t>Other Relevant Social Profile</t>
        </is>
      </c>
      <c r="K3" s="4" t="inlineStr">
        <is>
          <t>Contact Person</t>
        </is>
      </c>
      <c r="L3" s="4" t="inlineStr">
        <is>
          <t>Contact Person's Role</t>
        </is>
      </c>
      <c r="M3" s="4" t="inlineStr">
        <is>
          <t>Business Description</t>
        </is>
      </c>
      <c r="N3" s="4" t="inlineStr">
        <is>
          <t>Why This Business Fits Perko</t>
        </is>
      </c>
      <c r="O3" s="4" t="inlineStr">
        <is>
          <t>Repeat-Customer Potential</t>
        </is>
      </c>
      <c r="P3" s="4" t="inlineStr">
        <is>
          <t>Perko Fit Score (1-10)</t>
        </is>
      </c>
      <c r="Q3" s="4" t="inlineStr">
        <is>
          <t>Independence Status</t>
        </is>
      </c>
      <c r="R3" s="4" t="inlineStr">
        <is>
          <t>Best Public Contact Method</t>
        </is>
      </c>
      <c r="S3" s="4" t="inlineStr">
        <is>
          <t>Source URL - Business Details</t>
        </is>
      </c>
      <c r="T3" s="4" t="inlineStr">
        <is>
          <t>Source URL - Contact Information</t>
        </is>
      </c>
      <c r="U3" s="4" t="inlineStr">
        <is>
          <t>Date Verified</t>
        </is>
      </c>
      <c r="V3" s="4" t="inlineStr">
        <is>
          <t>Outreach Status</t>
        </is>
      </c>
      <c r="W3" s="4" t="inlineStr">
        <is>
          <t>Additional Notes</t>
        </is>
      </c>
      <c r="X3" s="4" t="inlineStr">
        <is>
          <t>Suggested Outreach Message (Hebrew)</t>
        </is>
      </c>
    </row>
    <row r="4" ht="96" customHeight="1">
      <c r="A4" s="5" t="inlineStr">
        <is>
          <t>בירמה</t>
        </is>
      </c>
      <c r="B4" s="6" t="inlineStr">
        <is>
          <t>Birma Coffee</t>
        </is>
      </c>
      <c r="C4" s="6" t="inlineStr">
        <is>
          <t>Café / coffee roaster</t>
        </is>
      </c>
      <c r="D4" s="7" t="inlineStr">
        <is>
          <t>Emek Refaim</t>
        </is>
      </c>
      <c r="E4" s="6" t="inlineStr">
        <is>
          <t>20 Emek Refaim St, German Colony, Jerusalem</t>
        </is>
      </c>
      <c r="F4" s="6" t="inlineStr">
        <is>
          <t>02-544-5668</t>
        </is>
      </c>
      <c r="G4" s="6" t="n"/>
      <c r="H4" s="8" t="inlineStr">
        <is>
          <t>https://birmacoffee.com</t>
        </is>
      </c>
      <c r="I4" s="8" t="inlineStr">
        <is>
          <t>https://www.instagram.com/birmacoffee</t>
        </is>
      </c>
      <c r="J4" s="8" t="inlineStr">
        <is>
          <t>https://www.facebook.com/birmacoffee</t>
        </is>
      </c>
      <c r="K4" s="6" t="inlineStr">
        <is>
          <t>Michael Ronen; Daniel Ronen</t>
        </is>
      </c>
      <c r="L4" s="6" t="inlineStr">
        <is>
          <t>Co-founders / owners (brothers)</t>
        </is>
      </c>
      <c r="M4" s="6" t="inlineStr">
        <is>
          <t>Small specialty-coffee micro-roastery and counter café opened in 2021, with outdoor seating. Kosher.</t>
        </is>
      </c>
      <c r="N4" s="6" t="inlineStr">
        <is>
          <t>A takeaway counter with commuter regulars is the textbook stamp-card business, and a young founder-run brand is likely to try a digital card in place of paper. Its coffee-bean sales add a second repeat purchase.</t>
        </is>
      </c>
      <c r="O4" s="7" t="inlineStr">
        <is>
          <t>High</t>
        </is>
      </c>
      <c r="P4" s="7" t="n">
        <v>9</v>
      </c>
      <c r="Q4" s="6" t="inlineStr">
        <is>
          <t>verified independent</t>
        </is>
      </c>
      <c r="R4" s="6" t="inlineStr">
        <is>
          <t>Phone / WhatsApp 02-544-5668 (WhatsApp link on official site)</t>
        </is>
      </c>
      <c r="S4" s="8" t="inlineStr">
        <is>
          <t>https://birmacoffee.com</t>
        </is>
      </c>
      <c r="T4" s="8" t="inlineStr">
        <is>
          <t>https://birmacoffee.com</t>
        </is>
      </c>
      <c r="U4" s="7" t="inlineStr">
        <is>
          <t>2026-10-25</t>
        </is>
      </c>
      <c r="V4" s="7" t="inlineStr">
        <is>
          <t>Not Contacted</t>
        </is>
      </c>
      <c r="W4" s="6" t="inlineStr">
        <is>
          <t>Phone confirmed on the official site (2026-10-25). Street number 20 from rest.co.il (https://www.rest.co.il/rest/80358238/) and Debbest; the official site gives no number. Founders named on own site and in Times of Israel FR (Aug 2023). No email published.</t>
        </is>
      </c>
      <c r="X4" s="5" t="inlineStr">
        <is>
          <t>היי מיכאל ודניאל,
אני [השם שלך] מ-Perko. ראיתי מה בניתם בבירמה: קלייה קטנה, דלפק עם לקוחות קבועים שעוצרים בדרך לעבודה. בדיוק העסק שכרטיס חותמות נועד בשבילו.
אנחנו מפתחים כרטיס נאמנות דיגיטלי משותף לעסקים בשכונה. במקום כרטיס נייר, הלקוח סורק קוד בקופה וצובר חותמות לפי הכללים שלכם, והכרטיס שלכם יושב באותה אפליקציה עם עוד עסקים מהרחוב.
אנחנו בגישה מוקדמת ומחפשים כמה עסקים ראשונים שיעזרו לנו לבנות את זה נכון. ההצטרפות כרגע בחינם, בלי התחייבות.
בא לכם 15 דקות שיחה השבוע? אשמח להגיע לדלפק.
[השם שלך]</t>
        </is>
      </c>
    </row>
    <row r="5" ht="96" customHeight="1">
      <c r="A5" s="9" t="inlineStr">
        <is>
          <t>קאלו</t>
        </is>
      </c>
      <c r="B5" s="10" t="inlineStr">
        <is>
          <t>Kalo Cafe &amp; Market</t>
        </is>
      </c>
      <c r="C5" s="10" t="inlineStr">
        <is>
          <t>Café / deli</t>
        </is>
      </c>
      <c r="D5" s="11" t="inlineStr">
        <is>
          <t>Derech Beit Lehem</t>
        </is>
      </c>
      <c r="E5" s="10" t="inlineStr">
        <is>
          <t>31 Derech Beit Lehem, Baka, Jerusalem</t>
        </is>
      </c>
      <c r="F5" s="10" t="inlineStr">
        <is>
          <t>02-673-6365</t>
        </is>
      </c>
      <c r="G5" s="12" t="inlineStr">
        <is>
          <t>kalocafe@gmail.com</t>
        </is>
      </c>
      <c r="H5" s="12" t="inlineStr">
        <is>
          <t>https://www.kalocafe.co.il/</t>
        </is>
      </c>
      <c r="I5" s="12" t="inlineStr">
        <is>
          <t>https://www.instagram.com/kalocafejerusalem</t>
        </is>
      </c>
      <c r="J5" s="12" t="inlineStr">
        <is>
          <t>https://www.facebook.com/kalocafe/</t>
        </is>
      </c>
      <c r="K5" s="10" t="n"/>
      <c r="L5" s="10" t="n"/>
      <c r="M5" s="10" t="inlineStr">
        <is>
          <t>Kosher neighbourhood café on the street since 1997/98 serving breakfasts, sandwiches, pastas and salads, plus deli and ready-made products sold online.</t>
        </is>
      </c>
      <c r="N5" s="10" t="inlineStr">
        <is>
          <t>A Baka institution with a large local base (800+ Google reviews per Wanderlog) and two purchase types, café visits and deli and ready-meal shopping. A shared card could carry its regulars to the other Derech Beit Lehem shops, and it already sells online, so it is used to digital tools.</t>
        </is>
      </c>
      <c r="O5" s="11" t="inlineStr">
        <is>
          <t>High</t>
        </is>
      </c>
      <c r="P5" s="11" t="n">
        <v>9</v>
      </c>
      <c r="Q5" s="10" t="inlineStr">
        <is>
          <t>verified independent</t>
        </is>
      </c>
      <c r="R5" s="10" t="inlineStr">
        <is>
          <t>Email kalocafe@gmail.com, or phone 02-673-6365</t>
        </is>
      </c>
      <c r="S5" s="12" t="inlineStr">
        <is>
          <t>https://he.wikipedia.org/wiki/%D7%93%D7%A8%D7%9A_%D7%91%D7%99%D7%AA_%D7%9C%D7%97%D7%9D</t>
        </is>
      </c>
      <c r="T5" s="12" t="inlineStr">
        <is>
          <t>https://www.kalocafe.co.il/contact-us/</t>
        </is>
      </c>
      <c r="U5" s="11" t="inlineStr">
        <is>
          <t>2026-10-25</t>
        </is>
      </c>
      <c r="V5" s="11" t="inlineStr">
        <is>
          <t>Not Contacted</t>
        </is>
      </c>
      <c r="W5" s="10" t="inlineStr">
        <is>
          <t>Email and phone confirmed on the official contact page (2026-10-25). Single location; company פרידה קאלו בע"מ. Owner not named publicly. Directory hours conflict, so check before visiting.</t>
        </is>
      </c>
      <c r="X5" s="9" t="inlineStr">
        <is>
          <t>שלום לצוות קאלו,
אני [השם שלך] מ-Perko. קאלו הוא כבר שנים חלק מהשגרה של בקעה, גם בבית הקפה וגם במעדנייה, ונראה לי שיש לכם בדיוק את הקהל הקבוע שאנחנו בונים בשבילו.
Perko הוא כרטיס נאמנות דיגיטלי משותף לעסקים בשכונה: הלקוח סורק קוד בקופה, צובר חותמות או נקודות לפי ההטבה שאתם מגדירים, ורואה באותה אפליקציה גם עסקים נוספים בדרך בית לחם.
אנחנו בשלב גישה מוקדמת ומחפשים עסקים ראשונים שישפיעו על איך המוצר יעבוד בקופה. ההצטרפות כרגע בחינם ובלי התחייבות לתשלום.
אשמח לדבר עם מי שאחראי אצלכם על הלקוחות, או לקפוץ ולהראות. למי כדאי לפנות?
תודה,
[השם שלך]</t>
        </is>
      </c>
    </row>
    <row r="6" ht="96" customHeight="1">
      <c r="A6" s="5" t="inlineStr">
        <is>
          <t>טחנת הקפה</t>
        </is>
      </c>
      <c r="B6" s="6" t="inlineStr">
        <is>
          <t>The Coffee Mill</t>
        </is>
      </c>
      <c r="C6" s="6" t="inlineStr">
        <is>
          <t>Café / coffee roaster</t>
        </is>
      </c>
      <c r="D6" s="7" t="inlineStr">
        <is>
          <t>Emek Refaim</t>
        </is>
      </c>
      <c r="E6" s="6" t="inlineStr">
        <is>
          <t>23 Emek Refaim St, German Colony, Jerusalem</t>
        </is>
      </c>
      <c r="F6" s="6" t="inlineStr">
        <is>
          <t>02-566-1665</t>
        </is>
      </c>
      <c r="G6" s="8" t="inlineStr">
        <is>
          <t>coffeemill99@gmail.com</t>
        </is>
      </c>
      <c r="H6" s="8" t="inlineStr">
        <is>
          <t>https://www.thecoffeemill.co.il/en</t>
        </is>
      </c>
      <c r="I6" s="8" t="inlineStr">
        <is>
          <t>https://www.instagram.com/thecoffeemillil</t>
        </is>
      </c>
      <c r="J6" s="8" t="inlineStr">
        <is>
          <t>https://www.facebook.com/coffeemill99</t>
        </is>
      </c>
      <c r="K6" s="6" t="inlineStr">
        <is>
          <t>Leah Breslow; Avi Katz</t>
        </is>
      </c>
      <c r="L6" s="6" t="inlineStr">
        <is>
          <t>Owners since 2016 (Leah Breslow runs day-to-day operations)</t>
        </is>
      </c>
      <c r="M6" s="6" t="inlineStr">
        <is>
          <t>Family-owned neighbourhood café that has roasted its own coffee since 1996 and sells single-origin and blended beans. Kosher.</t>
        </is>
      </c>
      <c r="N6" s="6" t="inlineStr">
        <is>
          <t>Two repeat loops in one shop: the daily coffee and the bag of beans re-bought every few weeks. Owners are named on their own site, so the first conversation can go straight to the decision-makers, and its neighbours on Emek Refaim (bakeries, florists) are natural network partners.</t>
        </is>
      </c>
      <c r="O6" s="7" t="inlineStr">
        <is>
          <t>High</t>
        </is>
      </c>
      <c r="P6" s="7" t="n">
        <v>9</v>
      </c>
      <c r="Q6" s="6" t="inlineStr">
        <is>
          <t>verified independent</t>
        </is>
      </c>
      <c r="R6" s="6" t="inlineStr">
        <is>
          <t>Email coffeemill99@gmail.com, or phone 02-566-1665</t>
        </is>
      </c>
      <c r="S6" s="8" t="inlineStr">
        <is>
          <t>https://www.thecoffeemill.co.il/en/about</t>
        </is>
      </c>
      <c r="T6" s="8" t="inlineStr">
        <is>
          <t>https://www.thecoffeemill.co.il/en/about</t>
        </is>
      </c>
      <c r="U6" s="7" t="inlineStr">
        <is>
          <t>2026-10-25</t>
        </is>
      </c>
      <c r="V6" s="7" t="inlineStr">
        <is>
          <t>Not Contacted</t>
        </is>
      </c>
      <c r="W6" s="6" t="inlineStr">
        <is>
          <t>Email and phone confirmed on the official About page (2026-10-25). Listed at no. 23 in The Jerusalem Guide German Colony feature (3 Jul 2026). Social URLs taken from the official site. Emek Refaim light-rail works may affect footfall in 2026.</t>
        </is>
      </c>
      <c r="X6" s="5" t="inlineStr">
        <is>
          <t>שלום לאה ואבי,
אני [השם שלך] מ-Perko. טחנת הקפה היא מקום שאנשים חוזרים אליו כל בוקר, וגם קונים שוב את הפולים שלכם כל כמה שבועות.
אנחנו בונים כרטיס נאמנות דיגיטלי משותף לעסקים בשכונה: הלקוח סורק קוד בקופה, צובר חותמות לפי הכללים שאתם קובעים, ורואה באותה אפליקציה גם כרטיסים של עסקים אחרים ברחוב.
אנחנו בשלב גישה מוקדמת ומחפשים כמה עסקים ראשונים בעמק רפאים שיעזרו לנו לעצב את המוצר. ההצטרפות כרגע בחינם ובלי התחייבות לתשלום.
אשמח ל-15 דקות שיחה או לקפץ אליכם לקפה ולהראות במה מדובר. מתי נוח לכם?
תודה,
[השם שלך]</t>
        </is>
      </c>
    </row>
    <row r="7" ht="96" customHeight="1">
      <c r="A7" s="9" t="inlineStr">
        <is>
          <t>קאסה לביא</t>
        </is>
      </c>
      <c r="B7" s="10" t="inlineStr">
        <is>
          <t>Casa Lavi</t>
        </is>
      </c>
      <c r="C7" s="10" t="inlineStr">
        <is>
          <t>Café / bakery</t>
        </is>
      </c>
      <c r="D7" s="11" t="inlineStr">
        <is>
          <t>Derech Beit Lehem</t>
        </is>
      </c>
      <c r="E7" s="10" t="inlineStr">
        <is>
          <t>41 Derech Beit Lehem, Baka, Jerusalem</t>
        </is>
      </c>
      <c r="F7" s="10" t="inlineStr">
        <is>
          <t>058-429-6540</t>
        </is>
      </c>
      <c r="G7" s="10" t="n"/>
      <c r="H7" s="12" t="inlineStr">
        <is>
          <t>https://casalavi.webflow.io/</t>
        </is>
      </c>
      <c r="I7" s="12" t="inlineStr">
        <is>
          <t>https://www.instagram.com/casalavicafe</t>
        </is>
      </c>
      <c r="J7" s="10" t="n"/>
      <c r="K7" s="10" t="inlineStr">
        <is>
          <t>Meital Itzhak; Alfonso Itzhak</t>
        </is>
      </c>
      <c r="L7" s="10" t="inlineStr">
        <is>
          <t>Founders / owners (per official site)</t>
        </is>
      </c>
      <c r="M7" s="10" t="inlineStr">
        <is>
          <t>Specialty coffee shop opened in 2022 that roasts its own coffee and bakes healthy pastries on site without white sugar or flour. Mostly vegan, kosher.</t>
        </is>
      </c>
      <c r="N7" s="10" t="inlineStr">
        <is>
          <t>A young, owner-run café with a health-focused crowd of regulars who come back for coffee and pastries several times a week. Its founder-led brand suits an early-access pilot.</t>
        </is>
      </c>
      <c r="O7" s="11" t="inlineStr">
        <is>
          <t>High</t>
        </is>
      </c>
      <c r="P7" s="11" t="n">
        <v>8</v>
      </c>
      <c r="Q7" s="10" t="inlineStr">
        <is>
          <t>verified independent</t>
        </is>
      </c>
      <c r="R7" s="10" t="inlineStr">
        <is>
          <t>Instagram DM @casalavicafe, or phone 058-429-6540</t>
        </is>
      </c>
      <c r="S7" s="12" t="inlineStr">
        <is>
          <t>https://casalavi.webflow.io/</t>
        </is>
      </c>
      <c r="T7" s="12" t="inlineStr">
        <is>
          <t>https://www.rest.co.il/rest/80359561/</t>
        </is>
      </c>
      <c r="U7" s="11" t="inlineStr">
        <is>
          <t>2026-10-25</t>
        </is>
      </c>
      <c r="V7" s="11" t="inlineStr">
        <is>
          <t>Not Contacted</t>
        </is>
      </c>
      <c r="W7" s="10" t="inlineStr">
        <is>
          <t>Official site (webflow) checked 2026-10-25: Instagram link present, no phone. Phones conflict across directories: rest.co.il 058-4296540, Google (via Wanderlog) 02-631-0295. Google reviews dated Dec 2025 and Jan 2026 per Wanderlog. casalavicafe.com did not load (TLS error).</t>
        </is>
      </c>
      <c r="X7" s="9" t="inlineStr">
        <is>
          <t>היי מיטל ואלפונסו,
אני [השם שלך] מ-Perko. אהבתי את מה שבניתם בקאסה לביא: קלייה משלכם, מאפים בריאים, וקהל שחוזר כמה פעמים בשבוע.
אנחנו מפתחים כרטיס נאמנות דיגיטלי משותף לעסקים בשכונה. הלקוח סורק קוד בקופה, צובר חותמות לפי הכללים שלכם, ורואה באותה אפליקציה גם עסקים שכנים בדרך בית לחם.
אנחנו בגישה מוקדמת ומחפשים כמה עסקים ראשונים שיעזרו לנו לעצב את המוצר. ההצטרפות כרגע בחינם, בלי התחייבות.
אשמח לקפוץ לקפה ולהראות בכמה דקות. מתי נוח לכם?
[השם שלך]</t>
        </is>
      </c>
    </row>
    <row r="8" ht="96" customHeight="1">
      <c r="A8" s="5" t="inlineStr">
        <is>
          <t>פרחי העמק</t>
        </is>
      </c>
      <c r="B8" s="6" t="inlineStr">
        <is>
          <t>Emek Flowers (Pirchei HaEmek)</t>
        </is>
      </c>
      <c r="C8" s="6" t="inlineStr">
        <is>
          <t>Florist</t>
        </is>
      </c>
      <c r="D8" s="7" t="inlineStr">
        <is>
          <t>Emek Refaim</t>
        </is>
      </c>
      <c r="E8" s="6" t="inlineStr">
        <is>
          <t>43 Emek Refaim St, German Colony, Jerusalem</t>
        </is>
      </c>
      <c r="F8" s="6" t="inlineStr">
        <is>
          <t>052-404-3365</t>
        </is>
      </c>
      <c r="G8" s="6" t="n"/>
      <c r="H8" s="8" t="inlineStr">
        <is>
          <t>https://emekflowers.co.il/</t>
        </is>
      </c>
      <c r="I8" s="6" t="n"/>
      <c r="J8" s="6" t="n"/>
      <c r="K8" s="6" t="n"/>
      <c r="L8" s="6" t="n"/>
      <c r="M8" s="6" t="inlineStr">
        <is>
          <t>Flower shop and boutique in the German Colony offering bouquets and deliveries across Jerusalem.</t>
        </is>
      </c>
      <c r="N8" s="6" t="inlineStr">
        <is>
          <t>Friday flowers for Shabbat are a weekly ritual for many local households, so a 'buy 8 bouquets, get one free' card fits naturally. A florist also makes a good second stop for café customers on the same street.</t>
        </is>
      </c>
      <c r="O8" s="7" t="inlineStr">
        <is>
          <t>High</t>
        </is>
      </c>
      <c r="P8" s="7" t="n">
        <v>8</v>
      </c>
      <c r="Q8" s="6" t="inlineStr">
        <is>
          <t>appears independent</t>
        </is>
      </c>
      <c r="R8" s="6" t="inlineStr">
        <is>
          <t>Phone 052-404-3365</t>
        </is>
      </c>
      <c r="S8" s="8" t="inlineStr">
        <is>
          <t>https://emekflowers.co.il/</t>
        </is>
      </c>
      <c r="T8" s="8" t="inlineStr">
        <is>
          <t>https://emekflowers.co.il/</t>
        </is>
      </c>
      <c r="U8" s="7" t="inlineStr">
        <is>
          <t>2026-10-25</t>
        </is>
      </c>
      <c r="V8" s="7" t="inlineStr">
        <is>
          <t>Not Contacted</t>
        </is>
      </c>
      <c r="W8" s="6" t="inlineStr">
        <is>
          <t>Phone confirmed on the official site (2026-10-25); site footer ©2026 with current hours (Sun-Thu 10-19, Fri 7-16). Owner not named. A Wolt listing was seen in search results only.</t>
        </is>
      </c>
      <c r="X8" s="5" t="inlineStr">
        <is>
          <t>שלום לצוות פרחי העמק,
אני [השם שלך] מ-Perko. הרבה משפחות בשכונה קונות פרחים לשבת כל שבוע, וזה בדיוק סוג הקנייה החוזרת שאנחנו בונים בשבילו.
Perko הוא כרטיס נאמנות דיגיטלי משותף לעסקים ברחוב: הלקוח סורק קוד בקופה וצובר חותמות לפי מה שאתם מחליטים, למשל זר תשיעי במתנה. באותה אפליקציה הוא רואה גם בתי קפה ועסקים אחרים בעמק רפאים.
אנחנו בגישה מוקדמת ומחפשים עסקים ראשונים. ההצטרפות כרגע בחינם ובלי התחייבות לתשלום.
אשמח לשיחה של 10 דקות או לקפוץ לחנות. מתי מתאים?
[השם שלך]</t>
        </is>
      </c>
    </row>
    <row r="9" ht="96" customHeight="1">
      <c r="A9" s="9" t="inlineStr">
        <is>
          <t>המקום של איציק</t>
        </is>
      </c>
      <c r="B9" s="10" t="inlineStr">
        <is>
          <t>Itzik's Place</t>
        </is>
      </c>
      <c r="C9" s="10" t="inlineStr">
        <is>
          <t>Café</t>
        </is>
      </c>
      <c r="D9" s="11" t="inlineStr">
        <is>
          <t>Derech Beit Lehem</t>
        </is>
      </c>
      <c r="E9" s="10" t="inlineStr">
        <is>
          <t>33 Derech Beit Lehem, Baka, Jerusalem</t>
        </is>
      </c>
      <c r="F9" s="10" t="inlineStr">
        <is>
          <t>02-672-0247</t>
        </is>
      </c>
      <c r="G9" s="10" t="n"/>
      <c r="H9" s="10" t="n"/>
      <c r="I9" s="10" t="n"/>
      <c r="J9" s="12" t="inlineStr">
        <is>
          <t>https://wolt.com/he/isr/jerusalem/venue/itziks-place</t>
        </is>
      </c>
      <c r="K9" s="10" t="n"/>
      <c r="L9" s="10" t="n"/>
      <c r="M9" s="10" t="inlineStr">
        <is>
          <t>Kosher dairy neighbourhood café (breakfasts, sandwiches, salads, pasta, desserts) that grew out of a local kiosk and has run in its current form since 2003.</t>
        </is>
      </c>
      <c r="N9" s="10" t="inlineStr">
        <is>
          <t>A kiosk-turned-café lives on daily regulars from the surrounding streets, and with no website or app of its own a ready-made digital card replaces paper with zero setup. Being two doors from Kalo and the deli at no. 33 makes it a natural cluster for the pilot.</t>
        </is>
      </c>
      <c r="O9" s="11" t="inlineStr">
        <is>
          <t>High</t>
        </is>
      </c>
      <c r="P9" s="11" t="n">
        <v>8</v>
      </c>
      <c r="Q9" s="10" t="inlineStr">
        <is>
          <t>appears independent</t>
        </is>
      </c>
      <c r="R9" s="10" t="inlineStr">
        <is>
          <t>Phone 02-672-0247 or visit in person</t>
        </is>
      </c>
      <c r="S9" s="12" t="inlineStr">
        <is>
          <t>https://www.rest.co.il/rest/80214546/</t>
        </is>
      </c>
      <c r="T9" s="12" t="inlineStr">
        <is>
          <t>https://www.rest.co.il/rest/80214546/</t>
        </is>
      </c>
      <c r="U9" s="11" t="inlineStr">
        <is>
          <t>2026-10-25</t>
        </is>
      </c>
      <c r="V9" s="11" t="inlineStr">
        <is>
          <t>Not Contacted</t>
        </is>
      </c>
      <c r="W9" s="10" t="inlineStr">
        <is>
          <t>Wolt listing live (open on 25 Oct 2026). A second number, +972-54-522-2843, appears on Wolt. History from Hebrew Wikipedia's Derech Beit Lehem article. No website or published email.</t>
        </is>
      </c>
      <c r="X9" s="9" t="inlineStr">
        <is>
          <t>היי, שלום לצוות של המקום של איציק,
אני [השם שלך] מ-Perko. אתם מהמקומות שהשכונה חוזרת אליהם כל יום, עוד מימי הקיוסק.
אנחנו בונים כרטיס נאמנות דיגיטלי משותף לעסקים בדרך בית לחם. בלי כרטיס נייר ובלי אפליקציה נפרדת: הלקוח סורק קוד בקופה, צובר חותמות לפי מה שתחליטו (למשל קפה עשירי חינם), ובאותה אפליקציה רואה גם עסקים שכנים.
אנחנו בגישה מוקדמת ומחפשים כמה עסקים ראשונים ברחוב. ההצטרפות כרגע בחינם, בלי התחייבות, ואנחנו עושים את כל ההקמה.
אפשר לקפוץ אליכם לכמה דקות בשעה שקטה ולהראות? מה הזמן הכי נוח?
[השם שלך]</t>
        </is>
      </c>
    </row>
    <row r="10" ht="96" customHeight="1">
      <c r="A10" s="5" t="inlineStr">
        <is>
          <t>ציגה – הגלידה של ציגה</t>
        </is>
      </c>
      <c r="B10" s="6" t="inlineStr">
        <is>
          <t>Tziga Ice Cream</t>
        </is>
      </c>
      <c r="C10" s="6" t="inlineStr">
        <is>
          <t>Ice cream / gelato</t>
        </is>
      </c>
      <c r="D10" s="7" t="inlineStr">
        <is>
          <t>Derech Beit Lehem</t>
        </is>
      </c>
      <c r="E10" s="6" t="inlineStr">
        <is>
          <t>31 Derech Beit Lehem, Baka, Jerusalem</t>
        </is>
      </c>
      <c r="F10" s="6" t="inlineStr">
        <is>
          <t>02-502-8374</t>
        </is>
      </c>
      <c r="G10" s="6" t="n"/>
      <c r="H10" s="8" t="inlineStr">
        <is>
          <t>https://tziga.co.il/</t>
        </is>
      </c>
      <c r="I10" s="6" t="n"/>
      <c r="J10" s="8" t="inlineStr">
        <is>
          <t>https://wolt.com/he/isr/jerusalem/restaurant/tziga-ice-cream</t>
        </is>
      </c>
      <c r="K10" s="6" t="n"/>
      <c r="L10" s="6" t="n"/>
      <c r="M10" s="6" t="inlineStr">
        <is>
          <t>Small family-run kosher gelateria making artisanal Italian-style gelato and sorbets, with many vegan flavours.</t>
        </is>
      </c>
      <c r="N10" s="6" t="inlineStr">
        <is>
          <t>Ice cream is an impulse treat bought by the same local families week after week, which makes 'every 8th scoop free' an easy offer. It shares a building with Kalo, so a customer could pick up stamps at both on one outing.</t>
        </is>
      </c>
      <c r="O10" s="7" t="inlineStr">
        <is>
          <t>High</t>
        </is>
      </c>
      <c r="P10" s="7" t="n">
        <v>8</v>
      </c>
      <c r="Q10" s="6" t="inlineStr">
        <is>
          <t>appears independent</t>
        </is>
      </c>
      <c r="R10" s="6" t="inlineStr">
        <is>
          <t>Phone 02-502-8374</t>
        </is>
      </c>
      <c r="S10" s="8" t="inlineStr">
        <is>
          <t>https://tziga.co.il/</t>
        </is>
      </c>
      <c r="T10" s="8" t="inlineStr">
        <is>
          <t>https://tziga.co.il/</t>
        </is>
      </c>
      <c r="U10" s="7" t="inlineStr">
        <is>
          <t>2026-10-25</t>
        </is>
      </c>
      <c r="V10" s="7" t="inlineStr">
        <is>
          <t>Not Contacted</t>
        </is>
      </c>
      <c r="W10" s="6" t="inlineStr">
        <is>
          <t>Phone confirmed on the official site (2026-10-25). Live on Wolt. One search snippet mentioned further branches (HaNasi St, Herzl Blvd), but neither the official site nor a Mako article lists them, so independence is not fully confirmed. Seasonal demand (summer peak).</t>
        </is>
      </c>
      <c r="X10" s="5" t="inlineStr">
        <is>
          <t>שלום לצוות ציגה,
אני [השם שלך] מ-Perko. גלידה היא בדיוק הדבר שמשפחות מהשכונה חוזרות אליו שוב ושוב, ולכן חשבנו עליכם.
Perko הוא כרטיס נאמנות דיגיטלי משותף לעסקים בשכונה: הלקוח סורק קוד בקופה וצובר חותמות לפי ההטבה שאתם קובעים, למשל ״כל כדור שמיני עלינו״. הכרטיס שלכם יופיע באותה אפליקציה עם עסקים נוספים בדרך בית לחם.
אנחנו בגישה מוקדמת ומחפשים עסקים ראשונים שיעזרו לנו לבנות את המוצר. ההצטרפות כרגע בחינם ובלי התחייבות לתשלום.
אשמח לשיחה קצרה או לקפוץ אליכם. מתי נוח?
תודה,
[השם שלך]</t>
        </is>
      </c>
    </row>
    <row r="11" ht="96" customHeight="1">
      <c r="A11" s="9" t="inlineStr">
        <is>
          <t>ברזאולה</t>
        </is>
      </c>
      <c r="B11" s="10" t="inlineStr">
        <is>
          <t>Bresaola</t>
        </is>
      </c>
      <c r="C11" s="10" t="inlineStr">
        <is>
          <t>Deli / tapas bar</t>
        </is>
      </c>
      <c r="D11" s="11" t="inlineStr">
        <is>
          <t>Derech Beit Lehem</t>
        </is>
      </c>
      <c r="E11" s="10" t="inlineStr">
        <is>
          <t>27 Derech Beit Lehem, Baka, Jerusalem</t>
        </is>
      </c>
      <c r="F11" s="10" t="inlineStr">
        <is>
          <t>02-673-5522</t>
        </is>
      </c>
      <c r="G11" s="10" t="n"/>
      <c r="H11" s="10" t="n"/>
      <c r="I11" s="10" t="n"/>
      <c r="J11" s="12" t="inlineStr">
        <is>
          <t>https://www.facebook.com/bresaola.jlm/</t>
        </is>
      </c>
      <c r="K11" s="10" t="n"/>
      <c r="L11" s="10" t="n"/>
      <c r="M11" s="10" t="inlineStr">
        <is>
          <t>Kosher deli-bar making handmade Italian-style sausages and charcuterie, with tapas and hot sandwiches.</t>
        </is>
      </c>
      <c r="N11" s="10" t="inlineStr">
        <is>
          <t>A take-home charcuterie counter that also serves a sit-down bar is visited both for weekly shopping and for evenings out. Its very high rating suggests loyal fans whose visits a reward could make more frequent.</t>
        </is>
      </c>
      <c r="O11" s="11" t="inlineStr">
        <is>
          <t>Medium</t>
        </is>
      </c>
      <c r="P11" s="11" t="n">
        <v>7</v>
      </c>
      <c r="Q11" s="10" t="inlineStr">
        <is>
          <t>appears independent</t>
        </is>
      </c>
      <c r="R11" s="10" t="inlineStr">
        <is>
          <t>Phone 02-673-5522</t>
        </is>
      </c>
      <c r="S11" s="12" t="inlineStr">
        <is>
          <t>https://wolt.com/he/isr/jerusalem/restaurant/bresaola</t>
        </is>
      </c>
      <c r="T11" s="12" t="inlineStr">
        <is>
          <t>https://www.d.co.il/80361096/30455/</t>
        </is>
      </c>
      <c r="U11" s="11" t="inlineStr">
        <is>
          <t>2026-10-25</t>
        </is>
      </c>
      <c r="V11" s="11" t="inlineStr">
        <is>
          <t>Not Contacted</t>
        </is>
      </c>
      <c r="W11" s="10" t="inlineStr">
        <is>
          <t>Live on Wolt (rating 9.2; open 25 Oct 2026). The Facebook page is the 'website' listed on Wolt. An Instagram handle @bresaola.jlm was seen only in search results, so it is not included. The domain bresaola-jerusalem.com did not resolve.</t>
        </is>
      </c>
      <c r="X11" s="9" t="inlineStr">
        <is>
          <t>שלום לצוות ברזאולה,
אני [השם שלך] מ-Perko. יש לכם קהל מעריצים אמיתי, ומגיעים אליכם גם לקניות הביתה וגם לערב בבר.
אנחנו בונים כרטיס נאמנות דיגיטלי משותף לעסקים בשכונה: הלקוח סורק קוד בקופה וצובר חותמות לפי ההטבה שאתם קובעים, ובאותה אפליקציה רואה גם עסקים שכנים בדרך בית לחם.
אנחנו בגישה מוקדמת ומחפשים עסקים ראשונים שיעזרו לנו לבנות את המוצר. ההצטרפות כרגע בחינם ובלי התחייבות לתשלום.
אשמח לקפוץ אליכם לכמה דקות. מתי הכי שקט אצלכם?
[השם שלך]</t>
        </is>
      </c>
    </row>
    <row r="12" ht="96" customHeight="1">
      <c r="A12" s="5" t="inlineStr">
        <is>
          <t>הפרחים של ארז</t>
        </is>
      </c>
      <c r="B12" s="6" t="inlineStr">
        <is>
          <t>Erez Flowers (EreZer)</t>
        </is>
      </c>
      <c r="C12" s="6" t="inlineStr">
        <is>
          <t>Florist</t>
        </is>
      </c>
      <c r="D12" s="7" t="inlineStr">
        <is>
          <t>Emek Refaim</t>
        </is>
      </c>
      <c r="E12" s="6" t="inlineStr">
        <is>
          <t>26 Emek Refaim St, German Colony, Jerusalem</t>
        </is>
      </c>
      <c r="F12" s="6" t="inlineStr">
        <is>
          <t>02-533-6363</t>
        </is>
      </c>
      <c r="G12" s="8" t="inlineStr">
        <is>
          <t>erezprachim@gmail.com</t>
        </is>
      </c>
      <c r="H12" s="8" t="inlineStr">
        <is>
          <t>https://erez-flowers.co.il/</t>
        </is>
      </c>
      <c r="I12" s="6" t="n"/>
      <c r="J12" s="8" t="inlineStr">
        <is>
          <t>https://wolt.com/en/isr/jerusalem/venue/erezer-emek-refaim</t>
        </is>
      </c>
      <c r="K12" s="6" t="n"/>
      <c r="L12" s="6" t="n"/>
      <c r="M12" s="6" t="inlineStr">
        <is>
          <t>Flower and gift shop offering arrangements with same-day delivery across Jerusalem.</t>
        </is>
      </c>
      <c r="N12" s="6" t="inlineStr">
        <is>
          <t>A flower shop where both walk-in Shabbat buyers and delivery customers buy again and again. With email published, it is one of the easiest prospects to reach in writing.</t>
        </is>
      </c>
      <c r="O12" s="7" t="inlineStr">
        <is>
          <t>High</t>
        </is>
      </c>
      <c r="P12" s="7" t="n">
        <v>7</v>
      </c>
      <c r="Q12" s="6" t="inlineStr">
        <is>
          <t>appears independent</t>
        </is>
      </c>
      <c r="R12" s="6" t="inlineStr">
        <is>
          <t>Email erezprachim@gmail.com, or phone 02-533-6363</t>
        </is>
      </c>
      <c r="S12" s="8" t="inlineStr">
        <is>
          <t>https://erez-flowers.co.il/store/</t>
        </is>
      </c>
      <c r="T12" s="8" t="inlineStr">
        <is>
          <t>https://erez-flowers.co.il/</t>
        </is>
      </c>
      <c r="U12" s="7" t="inlineStr">
        <is>
          <t>2026-10-25</t>
        </is>
      </c>
      <c r="V12" s="7" t="inlineStr">
        <is>
          <t>Not Contacted</t>
        </is>
      </c>
      <c r="W12" s="6" t="inlineStr">
        <is>
          <t>Email and phone confirmed on the official site (2026-10-25). The Wolt URL suffix '-emek-refaim' might hint at other branches, but none was found. Two florists on Emek Refaim (with Emek Flowers) may compete, so pitch them separately.</t>
        </is>
      </c>
      <c r="X12" s="5" t="inlineStr">
        <is>
          <t>שלום לצוות הפרחים של ארז,
אני [השם שלך] מ-Perko. יש לכם גם קונים שנכנסים לחנות לפני שבת וגם לקוחות משלוחים שחוזרים, וזה בדיוק הקהל שאנחנו בונים בשבילו.
Perko הוא כרטיס נאמנות דיגיטלי משותף לעסקים בעמק רפאים: הלקוח סורק קוד בקופה וצובר חותמות לפי ההטבה שאתם מגדירים, ובאותה אפליקציה רואה גם עסקים נוספים ברחוב.
אנחנו בשלב גישה מוקדמת ומחפשים עסקים ראשונים. ההצטרפות כרגע בחינם ובלי התחייבות לתשלום.
אשמח לשיחה של 10 דקות. מתי נוח לכם?
תודה,
[השם שלך]</t>
        </is>
      </c>
    </row>
    <row r="13" ht="96" customHeight="1">
      <c r="A13" s="9" t="inlineStr">
        <is>
          <t>פלורה – חנות פרחים</t>
        </is>
      </c>
      <c r="B13" s="10" t="inlineStr">
        <is>
          <t>Flora Flower Shop</t>
        </is>
      </c>
      <c r="C13" s="10" t="inlineStr">
        <is>
          <t>Florist</t>
        </is>
      </c>
      <c r="D13" s="11" t="inlineStr">
        <is>
          <t>Derech Beit Lehem</t>
        </is>
      </c>
      <c r="E13" s="10" t="inlineStr">
        <is>
          <t>29 Derech Beit Lehem, Baka, Jerusalem</t>
        </is>
      </c>
      <c r="F13" s="10" t="inlineStr">
        <is>
          <t>073-375-3310</t>
        </is>
      </c>
      <c r="G13" s="12" t="inlineStr">
        <is>
          <t>info@floraflower.co.il</t>
        </is>
      </c>
      <c r="H13" s="12" t="inlineStr">
        <is>
          <t>https://www.floraflower.co.il/</t>
        </is>
      </c>
      <c r="I13" s="10" t="n"/>
      <c r="J13" s="10" t="n"/>
      <c r="K13" s="10" t="n"/>
      <c r="L13" s="10" t="n"/>
      <c r="M13" s="10" t="inlineStr">
        <is>
          <t>Florist selling bouquets, plants, event arrangements and gift bundles, with Jerusalem-wide delivery and free pickup in store.</t>
        </is>
      </c>
      <c r="N13" s="10" t="inlineStr">
        <is>
          <t>Weekly Shabbat flowers plus holiday spikes (Sukkot, Rosh Hashana, Mother's Day) suit a stamp card well. It is a few doors from Kalo and Tziga, so customers can collect at several stops on one walk.</t>
        </is>
      </c>
      <c r="O13" s="11" t="inlineStr">
        <is>
          <t>High</t>
        </is>
      </c>
      <c r="P13" s="11" t="n">
        <v>7</v>
      </c>
      <c r="Q13" s="10" t="inlineStr">
        <is>
          <t>appears independent</t>
        </is>
      </c>
      <c r="R13" s="10" t="inlineStr">
        <is>
          <t>Email info@floraflower.co.il</t>
        </is>
      </c>
      <c r="S13" s="12" t="inlineStr">
        <is>
          <t>https://www.floraflower.co.il/</t>
        </is>
      </c>
      <c r="T13" s="12" t="inlineStr">
        <is>
          <t>https://www.floraflower.co.il/</t>
        </is>
      </c>
      <c r="U13" s="11" t="inlineStr">
        <is>
          <t>2026-10-25</t>
        </is>
      </c>
      <c r="V13" s="11" t="inlineStr">
        <is>
          <t>Not Contacted</t>
        </is>
      </c>
      <c r="W13" s="10" t="inlineStr">
        <is>
          <t>Email and phone confirmed on the official site (2026-10-25); Sukkot 2026 promotions live. Directories show other numbers (d.co.il 077-3164751), so use the official one.</t>
        </is>
      </c>
      <c r="X13" s="9" t="inlineStr">
        <is>
          <t>שלום לצוות פלורה,
אני [השם שלך] מ-Perko. פרחים לשבת, ועוד שיאים בחגים, הם בדיוק סוג הקנייה החוזרת שאנחנו בונים בשבילו.
Perko הוא כרטיס נאמנות דיגיטלי משותף לעסקים בשכונה: הלקוח סורק קוד בקופה וצובר חותמות לפי מה שאתם מחליטים, למשל זר תשיעי במתנה. באותה אפליקציה הוא רואה גם בתי קפה ועסקים שכנים בדרך בית לחם.
אנחנו בשלב גישה מוקדמת ומחפשים כמה עסקים ראשונים. ההצטרפות כרגע בחינם ובלי התחייבות לתשלום.
אשמח לשיחה קצרה או לקפוץ לחנות. מתי נוח לכם?
תודה,
[השם שלך]</t>
        </is>
      </c>
    </row>
    <row r="14" ht="96" customHeight="1">
      <c r="A14" s="5" t="inlineStr">
        <is>
          <t>גראנד קפה</t>
        </is>
      </c>
      <c r="B14" s="6" t="inlineStr">
        <is>
          <t>Grand Cafe</t>
        </is>
      </c>
      <c r="C14" s="6" t="inlineStr">
        <is>
          <t>Café / restaurant</t>
        </is>
      </c>
      <c r="D14" s="7" t="inlineStr">
        <is>
          <t>Derech Beit Lehem</t>
        </is>
      </c>
      <c r="E14" s="6" t="inlineStr">
        <is>
          <t>70 Derech Beit Lehem, Baka, Jerusalem</t>
        </is>
      </c>
      <c r="F14" s="6" t="inlineStr">
        <is>
          <t>02-570-2702</t>
        </is>
      </c>
      <c r="G14" s="6" t="n"/>
      <c r="H14" s="8" t="inlineStr">
        <is>
          <t>https://www.grand-cafe.co.il/</t>
        </is>
      </c>
      <c r="I14" s="8" t="inlineStr">
        <is>
          <t>https://www.instagram.com/grand.cafe_/</t>
        </is>
      </c>
      <c r="J14" s="8" t="inlineStr">
        <is>
          <t>https://www.facebook.com/grandcafe70</t>
        </is>
      </c>
      <c r="K14" s="6" t="inlineStr">
        <is>
          <t>Adi Talmor; Sarah Talmor</t>
        </is>
      </c>
      <c r="L14" s="6" t="inlineStr">
        <is>
          <t>Co-founder (business side); café manager (per The Jewish Link, Dec 2025)</t>
        </is>
      </c>
      <c r="M14" s="6" t="inlineStr">
        <is>
          <t>European-style kosher dairy café-restaurant opened in 2011, known for brunch and pastries.</t>
        </is>
      </c>
      <c r="N14" s="6" t="inlineStr">
        <is>
          <t>A popular brunch spot with neighbourhood regulars, where a reward such as a free pastry could move weekend-only diners to weekday visits. Its scale makes it an anchor partner that lends the network credibility.</t>
        </is>
      </c>
      <c r="O14" s="7" t="inlineStr">
        <is>
          <t>Medium</t>
        </is>
      </c>
      <c r="P14" s="7" t="n">
        <v>7</v>
      </c>
      <c r="Q14" s="6" t="inlineStr">
        <is>
          <t>verified independent</t>
        </is>
      </c>
      <c r="R14" s="6" t="inlineStr">
        <is>
          <t>Phone 02-570-2702 or WhatsApp +972-52-667-4624 (both on official site)</t>
        </is>
      </c>
      <c r="S14" s="8" t="inlineStr">
        <is>
          <t>https://jewishlink.news/a-jerusalem-restaurant-to-remember-in-baka-the-grand-cafe/</t>
        </is>
      </c>
      <c r="T14" s="8" t="inlineStr">
        <is>
          <t>https://www.grand-cafe.co.il/</t>
        </is>
      </c>
      <c r="U14" s="7" t="inlineStr">
        <is>
          <t>2026-10-25</t>
        </is>
      </c>
      <c r="V14" s="7" t="inlineStr">
        <is>
          <t>Not Contacted</t>
        </is>
      </c>
      <c r="W14" s="6" t="inlineStr">
        <is>
          <t>Phone, WhatsApp and Instagram confirmed on the official site (2026-10-25). Live on Wolt. No email published (events contact form only).</t>
        </is>
      </c>
      <c r="X14" s="5" t="inlineStr">
        <is>
          <t>שלום עדי ושרה,
אני [השם שלך] מ-Perko. גראנד קפה הוא אחד המקומות שמגדירים את בקעה, עם קהל בראנץ' נאמן.
אנחנו בונים כרטיס נאמנות דיגיטלי משותף לעסקים בשכונה: הלקוח סורק קוד בקופה וצובר חותמות או נקודות לפי ההטבה שאתם מגדירים, למשל מאפה עלינו בביקור באמצע השבוע. באותה אפליקציה הוא רואה גם עסקים נוספים בדרך בית לחם.
אנחנו בגישה מוקדמת ומחפשים עסקים ראשונים שיעזרו לנו לבנות את זה. ההצטרפות כרגע בחינם ובלי התחייבות לתשלום.
אשמח לפגישה קצרה בזמן שנוח לכם. מתי מתאים?
תודה,
[השם שלך]</t>
        </is>
      </c>
    </row>
    <row r="15" ht="96" customHeight="1">
      <c r="A15" s="9" t="inlineStr">
        <is>
          <t>לה שרולה</t>
        </is>
      </c>
      <c r="B15" s="10" t="inlineStr">
        <is>
          <t>Le Charolais Deli &amp; Butcher</t>
        </is>
      </c>
      <c r="C15" s="10" t="inlineStr">
        <is>
          <t>Butcher / deli</t>
        </is>
      </c>
      <c r="D15" s="11" t="inlineStr">
        <is>
          <t>Derech Beit Lehem</t>
        </is>
      </c>
      <c r="E15" s="10" t="inlineStr">
        <is>
          <t>84 Derech Beit Lehem, Baka, Jerusalem</t>
        </is>
      </c>
      <c r="F15" s="10" t="inlineStr">
        <is>
          <t>050-579-1350</t>
        </is>
      </c>
      <c r="G15" s="10" t="n"/>
      <c r="H15" s="12" t="inlineStr">
        <is>
          <t>https://lecharolais.co.il/</t>
        </is>
      </c>
      <c r="I15" s="10" t="n"/>
      <c r="J15" s="12" t="inlineStr">
        <is>
          <t>https://www.facebook.com/lecharolaisjerusalem/</t>
        </is>
      </c>
      <c r="K15" s="10" t="n"/>
      <c r="L15" s="10" t="n"/>
      <c r="M15" s="10" t="inlineStr">
        <is>
          <t>Kosher boutique butcher and deli; it will grill a cut to order on site and also sells poultry, prepared foods and weekend French pastries.</t>
        </is>
      </c>
      <c r="N15" s="10" t="inlineStr">
        <is>
          <t>Households buy meat for Shabbat every week, and high-value baskets justify a meaningful reward. It is also a different kind of shop from the cafés, which widens what the shared network offers.</t>
        </is>
      </c>
      <c r="O15" s="11" t="inlineStr">
        <is>
          <t>High</t>
        </is>
      </c>
      <c r="P15" s="11" t="n">
        <v>7</v>
      </c>
      <c r="Q15" s="10" t="inlineStr">
        <is>
          <t>appears independent</t>
        </is>
      </c>
      <c r="R15" s="10" t="inlineStr">
        <is>
          <t>Phone / WhatsApp 050-579-1350 (official site)</t>
        </is>
      </c>
      <c r="S15" s="12" t="inlineStr">
        <is>
          <t>https://lecharolais.co.il/</t>
        </is>
      </c>
      <c r="T15" s="12" t="inlineStr">
        <is>
          <t>https://lecharolais.co.il/</t>
        </is>
      </c>
      <c r="U15" s="11" t="inlineStr">
        <is>
          <t>2026-10-25</t>
        </is>
      </c>
      <c r="V15" s="11" t="inlineStr">
        <is>
          <t>Not Contacted</t>
        </is>
      </c>
      <c r="W15" s="10" t="inlineStr">
        <is>
          <t>Phone confirmed on the official site (2026-10-25). Wolt lists 02-6444966. A Mazav article (Jun 2021) names three Jerusalem restaurateurs as owners who also run other restaurants: a single shop, but not a lone owner. Names left out because the source is from 2021.</t>
        </is>
      </c>
      <c r="X15" s="9" t="inlineStr">
        <is>
          <t>שלום לצוות לה שרולה,
אני [השם שלך] מ-Perko. הרבה משפחות בשכונה קונות אצלכם בשר לשבת כל שבוע, וזה בדיוק סוג הלקוח הקבוע שאנחנו בונים בשבילו.
Perko הוא כרטיס נאמנות דיגיטלי משותף לעסקים בשכונה: הלקוח סורק קוד בקופה וצובר נקודות לפי הכללים שלכם, והכרטיס שלכם יושב באותה אפליקציה עם עסקים נוספים בדרך בית לחם.
אנחנו בגישה מוקדמת ומחפשים עסקים ראשונים. ההצטרפות כרגע בחינם ובלי התחייבות לתשלום.
אשמח לשיחה קצרה עם מי שמנהל את החנות. מתי נוח?
[השם שלך]</t>
        </is>
      </c>
    </row>
    <row r="16" ht="96" customHeight="1">
      <c r="A16" s="5" t="inlineStr">
        <is>
          <t>לחם ועוד</t>
        </is>
      </c>
      <c r="B16" s="6" t="inlineStr">
        <is>
          <t>Lechem V'od (Bread and More)</t>
        </is>
      </c>
      <c r="C16" s="6" t="inlineStr">
        <is>
          <t>Bakery / café</t>
        </is>
      </c>
      <c r="D16" s="7" t="inlineStr">
        <is>
          <t>Emek Refaim</t>
        </is>
      </c>
      <c r="E16" s="6" t="inlineStr">
        <is>
          <t>35 Emek Refaim St, German Colony, Jerusalem</t>
        </is>
      </c>
      <c r="F16" s="6" t="inlineStr">
        <is>
          <t>02-624-4255</t>
        </is>
      </c>
      <c r="G16" s="6" t="n"/>
      <c r="H16" s="6" t="n"/>
      <c r="I16" s="6" t="n"/>
      <c r="J16" s="6" t="n"/>
      <c r="K16" s="6" t="n"/>
      <c r="L16" s="6" t="n"/>
      <c r="M16" s="6" t="inlineStr">
        <is>
          <t>Gourmet kosher (mehadrin) bakery-café and deli selling artisan bread, cheesecake, macarons and imported cheeses, with an outdoor patio.</t>
        </is>
      </c>
      <c r="N16" s="6" t="inlineStr">
        <is>
          <t>Daily bread and weekly Shabbat baking make bakeries the strongest repeat-purchase category. Its deli counter adds bigger baskets, which justify a richer reward.</t>
        </is>
      </c>
      <c r="O16" s="7" t="inlineStr">
        <is>
          <t>High</t>
        </is>
      </c>
      <c r="P16" s="7" t="n">
        <v>7</v>
      </c>
      <c r="Q16" s="6" t="inlineStr">
        <is>
          <t>appears independent</t>
        </is>
      </c>
      <c r="R16" s="6" t="inlineStr">
        <is>
          <t>Phone 02-624-4255 or visit in person</t>
        </is>
      </c>
      <c r="S16" s="8" t="inlineStr">
        <is>
          <t>https://www.rest.co.il/rest/80209734/</t>
        </is>
      </c>
      <c r="T16" s="8" t="inlineStr">
        <is>
          <t>https://www.rest.co.il/rest/80209734/</t>
        </is>
      </c>
      <c r="U16" s="7" t="inlineStr">
        <is>
          <t>2026-10-25</t>
        </is>
      </c>
      <c r="V16" s="7" t="inlineStr">
        <is>
          <t>Not Contacted</t>
        </is>
      </c>
      <c r="W16" s="6" t="inlineStr">
        <is>
          <t>Score reduced because current operation is not firmly verified: rest.co.il updated Feb 2026 and listed in iTravelJerusalem, but no dated 2026 review was found. Confirm it is open before outreach. Shares no. 35 with Focaccia Moshava.</t>
        </is>
      </c>
      <c r="X16" s="5" t="inlineStr">
        <is>
          <t>שלום לצוות לחם ועוד,
אני [השם שלך] מ-Perko. מאפייה היא המקום שאנשים חוזרים אליו הכי הרבה, ללחם של כל יום ולעוגות של שבת.
אנחנו בונים כרטיס נאמנות דיגיטלי משותף לעסקים בעמק רפאים: הלקוח סורק קוד בקופה, צובר חותמות לפי ההטבה שאתם קובעים, ורואה באותה אפליקציה גם עסקים שכנים ברחוב.
אנחנו בגישה מוקדמת ומחפשים עסקים ראשונים. ההצטרפות כרגע בחינם ובלי התחייבות לתשלום.
אשמח לקפוץ ולהראות בכמה דקות. מתי מתאים?
[השם שלך]</t>
        </is>
      </c>
    </row>
    <row r="17" ht="96" customHeight="1">
      <c r="A17" s="9" t="inlineStr">
        <is>
          <t>בוכמן'ס דיינר</t>
        </is>
      </c>
      <c r="B17" s="10" t="inlineStr">
        <is>
          <t>Buchman's Diner</t>
        </is>
      </c>
      <c r="C17" s="10" t="inlineStr">
        <is>
          <t>Casual restaurant</t>
        </is>
      </c>
      <c r="D17" s="11" t="inlineStr">
        <is>
          <t>Emek Refaim</t>
        </is>
      </c>
      <c r="E17" s="10" t="inlineStr">
        <is>
          <t>51 Emek Refaim St, German Colony, Jerusalem</t>
        </is>
      </c>
      <c r="F17" s="10" t="inlineStr">
        <is>
          <t>073-730-9889</t>
        </is>
      </c>
      <c r="G17" s="10" t="n"/>
      <c r="H17" s="10" t="n"/>
      <c r="I17" s="10" t="n"/>
      <c r="J17" s="12" t="inlineStr">
        <is>
          <t>https://wolt.com/en/isr/jerusalem/restaurant/buchmans-diner</t>
        </is>
      </c>
      <c r="K17" s="10" t="inlineStr">
        <is>
          <t>Lior Sivan; Matan Sivan</t>
        </is>
      </c>
      <c r="L17" s="10" t="inlineStr">
        <is>
          <t>Owners (twin brothers), per The Jerusalem Post, Nov 2024</t>
        </is>
      </c>
      <c r="M17" s="10" t="inlineStr">
        <is>
          <t>American-style kosher dairy diner serving burgers, pancakes, calzones and milkshakes.</t>
        </is>
      </c>
      <c r="N17" s="10" t="inlineStr">
        <is>
          <t>Families and teenagers come back for casual meals, so a 'free milkshake on the 6th visit' card is easy to explain. Owner-operators are named, and they run two other local pizza places, so a successful pilot could later spread across their venues.</t>
        </is>
      </c>
      <c r="O17" s="11" t="inlineStr">
        <is>
          <t>Medium</t>
        </is>
      </c>
      <c r="P17" s="11" t="n">
        <v>6</v>
      </c>
      <c r="Q17" s="10" t="inlineStr">
        <is>
          <t>appears independent</t>
        </is>
      </c>
      <c r="R17" s="10" t="inlineStr">
        <is>
          <t>Phone 073-730-9889</t>
        </is>
      </c>
      <c r="S17" s="12" t="inlineStr">
        <is>
          <t>https://jpost.com/food-recipes/article-829474</t>
        </is>
      </c>
      <c r="T17" s="12" t="inlineStr">
        <is>
          <t>https://jpost.com/food-recipes/article-829474</t>
        </is>
      </c>
      <c r="U17" s="11" t="inlineStr">
        <is>
          <t>2026-10-25</t>
        </is>
      </c>
      <c r="V17" s="11" t="inlineStr">
        <is>
          <t>Not Contacted</t>
        </is>
      </c>
      <c r="W17" s="10" t="inlineStr">
        <is>
          <t>Small local family group (also runs two Buchman pizza places), not a chain. Wolt listing seen in search results. Kashrut wording differs between sources. No 2026-dated evidence found.</t>
        </is>
      </c>
      <c r="X17" s="9" t="inlineStr">
        <is>
          <t>היי ליאור ומתן,
אני [השם שלך] מ-Perko. הדיינר שלכם הוא מקום שמשפחות ובני נוער חוזרים אליו, וזה בדיוק הקהל שכרטיס חותמות עובד אצלו הכי טוב.
Perko הוא כרטיס נאמנות דיגיטלי משותף לעסקים בשכונה: הלקוח סורק קוד בקופה וצובר חותמות לפי ההטבה שאתם קובעים, למשל מילקשייק חינם בביקור השישי. באותה אפליקציה הוא רואה גם עסקים נוספים בעמק רפאים.
אנחנו בגישה מוקדמת ומחפשים עסקים ראשונים. ההצטרפות כרגע בחינם ובלי התחייבות לתשלום, ואם זה יעבוד אפשר יהיה להרחיב גם למקומות הנוספים שלכם.
אשמח לשיחה קצרה. מתי נוח?
[השם שלך]</t>
        </is>
      </c>
    </row>
    <row r="18" ht="96" customHeight="1">
      <c r="A18" s="5" t="inlineStr">
        <is>
          <t>קומקום – בית תה</t>
        </is>
      </c>
      <c r="B18" s="6" t="inlineStr">
        <is>
          <t>Kumkum Tea House</t>
        </is>
      </c>
      <c r="C18" s="6" t="inlineStr">
        <is>
          <t>Tea house / café</t>
        </is>
      </c>
      <c r="D18" s="7" t="inlineStr">
        <is>
          <t>Derech Beit Lehem</t>
        </is>
      </c>
      <c r="E18" s="6" t="inlineStr">
        <is>
          <t>23 Derech Beit Lehem, Baka, Jerusalem</t>
        </is>
      </c>
      <c r="F18" s="6" t="inlineStr">
        <is>
          <t>050-656-3334</t>
        </is>
      </c>
      <c r="G18" s="6" t="n"/>
      <c r="H18" s="8" t="inlineStr">
        <is>
          <t>https://kumkumteahouse.com/</t>
        </is>
      </c>
      <c r="I18" s="8" t="inlineStr">
        <is>
          <t>https://www.instagram.com/kumkum.tea.house</t>
        </is>
      </c>
      <c r="J18" s="6" t="n"/>
      <c r="K18" s="6" t="inlineStr">
        <is>
          <t>Elisheva Levy</t>
        </is>
      </c>
      <c r="L18" s="6" t="inlineStr">
        <is>
          <t>Owner (per Times of Israel, 16 Aug 2026)</t>
        </is>
      </c>
      <c r="M18" s="6" t="inlineStr">
        <is>
          <t>Kosher British-style tea room serving afternoon tea, homemade scones and loose-leaf teas in a garden, with a small teaware and gift shop.</t>
        </is>
      </c>
      <c r="N18" s="6" t="inlineStr">
        <is>
          <t>An owner-run, community-minded venue whose reward could be a free pot of tea or scones. The retail corner (loose-leaf tea refills) adds a repeat purchase, and the owner was profiled in Aug 2026, so she is active and reachable.</t>
        </is>
      </c>
      <c r="O18" s="7" t="inlineStr">
        <is>
          <t>Medium</t>
        </is>
      </c>
      <c r="P18" s="7" t="n">
        <v>6</v>
      </c>
      <c r="Q18" s="6" t="inlineStr">
        <is>
          <t>verified independent</t>
        </is>
      </c>
      <c r="R18" s="6" t="inlineStr">
        <is>
          <t>Phone / WhatsApp 050-656-3334</t>
        </is>
      </c>
      <c r="S18" s="8" t="inlineStr">
        <is>
          <t>https://www.timesofisrael.com/elisheva-levy-jerusalems-fairy-godmother/</t>
        </is>
      </c>
      <c r="T18" s="8" t="inlineStr">
        <is>
          <t>https://kumkumteahouse.com/</t>
        </is>
      </c>
      <c r="U18" s="7" t="inlineStr">
        <is>
          <t>2026-10-25</t>
        </is>
      </c>
      <c r="V18" s="7" t="inlineStr">
        <is>
          <t>Not Contacted</t>
        </is>
      </c>
      <c r="W18" s="6" t="inlineStr">
        <is>
          <t>Phone and Instagram confirmed on the official site after rendering it (2026-10-25). Afternoon tea is more of an occasion than a daily visit. Hebrew Wikipedia names a different owner; the 2026 Times of Israel article was used instead. GoKosher lists another phone, 077-5373226.</t>
        </is>
      </c>
      <c r="X18" s="5" t="inlineStr">
        <is>
          <t>שלום אלישבע,
אני [השם שלך] מ-Perko. קראתי עלייך ועל קומקום, ואהבתי את הבית הקטן והקהילתי שבנית בבקעה.
אנחנו מפתחים כרטיס נאמנות דיגיטלי משותף לעסקים בשכונה: הלקוח סורק קוד בקופה וצובר חותמות לפי מה שתבחרי, למשל קנקן תה או סקונס במתנה, וגם קניות של תה עלים לבית נספרות. באותה אפליקציה הוא רואה גם עסקים שכנים בדרך בית לחם.
אנחנו בגישה מוקדמת ומחפשים עסקים ראשונים. ההצטרפות כרגע בחינם ובלי התחייבות לתשלום.
אשמח לבוא לתה ולהראות בכמה דקות. מתי נוח לך?
[השם שלך]</t>
        </is>
      </c>
    </row>
    <row r="19" ht="96" customHeight="1">
      <c r="A19" s="9" t="inlineStr">
        <is>
          <t>פוקצ'ה בר הכשרה במושבה</t>
        </is>
      </c>
      <c r="B19" s="10" t="inlineStr">
        <is>
          <t>Focaccia Moshava</t>
        </is>
      </c>
      <c r="C19" s="10" t="inlineStr">
        <is>
          <t>Restaurant / bakery</t>
        </is>
      </c>
      <c r="D19" s="11" t="inlineStr">
        <is>
          <t>Emek Refaim</t>
        </is>
      </c>
      <c r="E19" s="10" t="inlineStr">
        <is>
          <t>35 Emek Refaim St, German Colony, Jerusalem</t>
        </is>
      </c>
      <c r="F19" s="10" t="inlineStr">
        <is>
          <t>02-538-7182</t>
        </is>
      </c>
      <c r="G19" s="10" t="n"/>
      <c r="H19" s="10" t="n"/>
      <c r="I19" s="10" t="n"/>
      <c r="J19" s="10" t="n"/>
      <c r="K19" s="10" t="n"/>
      <c r="L19" s="10" t="n"/>
      <c r="M19" s="10" t="inlineStr">
        <is>
          <t>Kosher Italian restaurant baking focaccia in a taboon oven, with a Friday pre-Shabbat focaccia market.</t>
        </is>
      </c>
      <c r="N19" s="10" t="inlineStr">
        <is>
          <t>The Friday focaccia market is a weekly pickup routine and a ready-made reason to reward repeat visits. Its corner-of-the-street visibility would also help the network.</t>
        </is>
      </c>
      <c r="O19" s="11" t="inlineStr">
        <is>
          <t>Medium</t>
        </is>
      </c>
      <c r="P19" s="11" t="n">
        <v>5</v>
      </c>
      <c r="Q19" s="10" t="inlineStr">
        <is>
          <t>uncertain</t>
        </is>
      </c>
      <c r="R19" s="10" t="inlineStr">
        <is>
          <t>Phone 02-538-7182</t>
        </is>
      </c>
      <c r="S19" s="12" t="inlineStr">
        <is>
          <t>https://www.itraveljerusalem.com/rst/focaccia-moshava/</t>
        </is>
      </c>
      <c r="T19" s="12" t="inlineStr">
        <is>
          <t>https://www.rest.co.il/restaurants/jerusalem/emek-refaim/</t>
        </is>
      </c>
      <c r="U19" s="11" t="inlineStr">
        <is>
          <t>2026-10-25</t>
        </is>
      </c>
      <c r="V19" s="11" t="inlineStr">
        <is>
          <t>Not Contacted</t>
        </is>
      </c>
      <c r="W19" s="10" t="inlineStr">
        <is>
          <t>Kosher sibling of the downtown Focaccia Bar (Rabbi Akiva St): a local two-location brand, not a single independent shop. Listed in The Jerusalem Guide (3 Jul 2026). A website (m.focaccia.co) appears on iTravelJerusalem but was not verified, so it is left blank.</t>
        </is>
      </c>
      <c r="X19" s="9" t="inlineStr">
        <is>
          <t>שלום לצוות פוקצ'ה במושבה,
אני [השם שלך] מ-Perko. שוק הפוקצ'ות שלכם בשישי הוא בדיוק הרגל שבועי שכדאי לתגמל.
אנחנו בונים כרטיס נאמנות דיגיטלי משותף לעסקים בעמק רפאים: הלקוח סורק קוד בקופה וצובר חותמות לפי ההטבה שאתם קובעים, למשל פוקצ'ה עלינו בשישי העשירי. באותה אפליקציה הוא רואה גם עסקים שכנים ברחוב.
אנחנו בגישה מוקדמת ומחפשים עסקים ראשונים. ההצטרפות כרגע בחינם ובלי התחייבות לתשלום.
אשמח לדבר עם מי שמנהל את הסניף. מתי נוח?
תודה,
[השם שלך]</t>
        </is>
      </c>
    </row>
    <row r="20" ht="96" customHeight="1">
      <c r="A20" s="5" t="inlineStr">
        <is>
          <t>פומפידו</t>
        </is>
      </c>
      <c r="B20" s="6" t="inlineStr">
        <is>
          <t>Pompidou Bistro &amp; Bar</t>
        </is>
      </c>
      <c r="C20" s="6" t="inlineStr">
        <is>
          <t>Restaurant / bar</t>
        </is>
      </c>
      <c r="D20" s="7" t="inlineStr">
        <is>
          <t>Emek Refaim</t>
        </is>
      </c>
      <c r="E20" s="6" t="inlineStr">
        <is>
          <t>27 Emek Refaim St, German Colony, Jerusalem</t>
        </is>
      </c>
      <c r="F20" s="6" t="inlineStr">
        <is>
          <t>02-625-1111</t>
        </is>
      </c>
      <c r="G20" s="6" t="n"/>
      <c r="H20" s="6" t="n"/>
      <c r="I20" s="6" t="n"/>
      <c r="J20" s="6" t="n"/>
      <c r="K20" s="6" t="n"/>
      <c r="L20" s="6" t="n"/>
      <c r="M20" s="6" t="inlineStr">
        <is>
          <t>Italian-leaning kosher dairy bistro and cocktail bar with balconies over Emek Refaim.</t>
        </is>
      </c>
      <c r="N20" s="6" t="inlineStr">
        <is>
          <t>Evening and date-night visits come less often, but a shared network could send café customers to it at night, and a reward such as a free dessert can win back lapsed diners.</t>
        </is>
      </c>
      <c r="O20" s="7" t="inlineStr">
        <is>
          <t>Medium</t>
        </is>
      </c>
      <c r="P20" s="7" t="n">
        <v>5</v>
      </c>
      <c r="Q20" s="6" t="inlineStr">
        <is>
          <t>appears independent</t>
        </is>
      </c>
      <c r="R20" s="6" t="inlineStr">
        <is>
          <t>Phone 02-625-1111</t>
        </is>
      </c>
      <c r="S20" s="8" t="inlineStr">
        <is>
          <t>https://www.rest.co.il/rest/80164067/</t>
        </is>
      </c>
      <c r="T20" s="8" t="inlineStr">
        <is>
          <t>https://www.rest.co.il/rest/80164067/</t>
        </is>
      </c>
      <c r="U20" s="7" t="inlineStr">
        <is>
          <t>2026-10-25</t>
        </is>
      </c>
      <c r="V20" s="7" t="inlineStr">
        <is>
          <t>Not Contacted</t>
        </is>
      </c>
      <c r="W20" s="6" t="inlineStr">
        <is>
          <t>Listed in The Jerusalem Guide German Colony feature (3 Jul 2026). No official site or social profile found. The latest rest.co.il review is from 2023.</t>
        </is>
      </c>
      <c r="X20" s="5" t="inlineStr">
        <is>
          <t>שלום לצוות פומפידו,
אני [השם שלך] מ-Perko. אנחנו בונים כרטיס נאמנות דיגיטלי משותף לעסקים בעמק רפאים: הלקוח סורק קוד בקופה וצובר נקודות לפי ההטבה שאתם קובעים, למשל קינוח עלינו בביקור הרביעי.
היתרון בשבילכם הוא החיבור לעסקים השכנים: לקוחות שמכירים את הרחוב מבתי הקפה ביום יכולים לגלות אתכם בערב דרך אותה אפליקציה.
אנחנו בגישה מוקדמת ומחפשים עסקים ראשונים. ההצטרפות כרגע בחינם ובלי התחייבות לתשלום.
אשמח לדבר עם מי שמנהל את המקום. מתי אפשר לתפוס אתכם?
תודה,
[השם שלך]</t>
        </is>
      </c>
    </row>
    <row r="21" ht="96" customHeight="1">
      <c r="A21" s="9" t="inlineStr">
        <is>
          <t>רנדבו</t>
        </is>
      </c>
      <c r="B21" s="10" t="inlineStr">
        <is>
          <t>Rendez-Vous</t>
        </is>
      </c>
      <c r="C21" s="10" t="inlineStr">
        <is>
          <t>Casual restaurant</t>
        </is>
      </c>
      <c r="D21" s="11" t="inlineStr">
        <is>
          <t>Derech Beit Lehem</t>
        </is>
      </c>
      <c r="E21" s="10" t="inlineStr">
        <is>
          <t>110 Derech Beit Lehem, Jerusalem</t>
        </is>
      </c>
      <c r="F21" s="10" t="inlineStr">
        <is>
          <t>074-726-8306</t>
        </is>
      </c>
      <c r="G21" s="10" t="n"/>
      <c r="H21" s="10" t="n"/>
      <c r="I21" s="10" t="n"/>
      <c r="J21" s="10" t="n"/>
      <c r="K21" s="10" t="n"/>
      <c r="L21" s="10" t="n"/>
      <c r="M21" s="10" t="inlineStr">
        <is>
          <t>Kosher-mehadrin restaurant serving pizza, pasta and pastries.</t>
        </is>
      </c>
      <c r="N21" s="10" t="inlineStr">
        <is>
          <t>Pizza and pasta are frequent family takeaway orders that suit a simple stamp card. It sits at the southern (Talpiot) end of the street, so it would extend the network beyond central Baka.</t>
        </is>
      </c>
      <c r="O21" s="11" t="inlineStr">
        <is>
          <t>Medium</t>
        </is>
      </c>
      <c r="P21" s="11" t="n">
        <v>5</v>
      </c>
      <c r="Q21" s="10" t="inlineStr">
        <is>
          <t>appears independent</t>
        </is>
      </c>
      <c r="R21" s="10" t="inlineStr">
        <is>
          <t>Phone 074-726-8306</t>
        </is>
      </c>
      <c r="S21" s="12" t="inlineStr">
        <is>
          <t>https://www.rest.co.il/rest/80195583/</t>
        </is>
      </c>
      <c r="T21" s="12" t="inlineStr">
        <is>
          <t>https://www.rest.co.il/rest/80195583/</t>
        </is>
      </c>
      <c r="U21" s="11" t="inlineStr">
        <is>
          <t>2026-10-25</t>
        </is>
      </c>
      <c r="V21" s="11" t="inlineStr">
        <is>
          <t>Not Contacted</t>
        </is>
      </c>
      <c r="W21" s="10" t="inlineStr">
        <is>
          <t>rest.co.il updated Jun 2026 with a user review dated 19 Aug 2025 (negative). Sources disagree on the cuisine label. The 074 number may be a directory routing number; confirm the direct line in person. Farther from the central cluster.</t>
        </is>
      </c>
      <c r="X21" s="9" t="inlineStr">
        <is>
          <t>שלום לצוות רנדבו,
אני [השם שלך] מ-Perko. פיצה ופסטה הן הזמנות שמשפחות חוזרות אליהן שוב ושוב, וזה בדיוק המקום שבו כרטיס חותמות עובד.
Perko הוא כרטיס נאמנות דיגיטלי משותף לעסקים בדרך בית לחם: הלקוח סורק קוד בקופה וצובר חותמות לפי ההטבה שאתם קובעים, ובאותה אפליקציה רואה גם עסקים נוספים ברחוב.
אנחנו בגישה מוקדמת ומחפשים עסקים ראשונים. ההצטרפות כרגע בחינם ובלי התחייבות לתשלום.
אשמח לשיחה קצרה עם מי שמנהל את המקום. מתי נוח?
[השם שלך]</t>
        </is>
      </c>
    </row>
    <row r="22" ht="96" customHeight="1">
      <c r="A22" s="5" t="inlineStr">
        <is>
          <t>ברברה שו מתנות</t>
        </is>
      </c>
      <c r="B22" s="6" t="inlineStr">
        <is>
          <t>Barbara Shaw Gifts</t>
        </is>
      </c>
      <c r="C22" s="6" t="inlineStr">
        <is>
          <t>Gift / Judaica boutique</t>
        </is>
      </c>
      <c r="D22" s="7" t="inlineStr">
        <is>
          <t>Emek Refaim</t>
        </is>
      </c>
      <c r="E22" s="6" t="inlineStr">
        <is>
          <t>6 Emek Refaim St, German Colony, Jerusalem</t>
        </is>
      </c>
      <c r="F22" s="6" t="inlineStr">
        <is>
          <t>02-579-9621</t>
        </is>
      </c>
      <c r="G22" s="8" t="inlineStr">
        <is>
          <t>barbshaw@gmail.com</t>
        </is>
      </c>
      <c r="H22" s="8" t="inlineStr">
        <is>
          <t>https://www.barbarashawgifts.com/</t>
        </is>
      </c>
      <c r="I22" s="6" t="n"/>
      <c r="J22" s="6" t="n"/>
      <c r="K22" s="6" t="n"/>
      <c r="L22" s="6" t="n"/>
      <c r="M22" s="6" t="inlineStr">
        <is>
          <t>Designer-led brand of modern Jewish and Israeli gifts made in Jerusalem: mugs, totes, aprons, T-shirts, baby wear and holiday items.</t>
        </is>
      </c>
      <c r="N22" s="6" t="inlineStr">
        <is>
          <t>Gift and holiday shopping comes in seasons rather than every week, but a quirky local brand would benefit from the network's foot traffic. It sits at the northern start of Emek Refaim, where people begin walking the street.</t>
        </is>
      </c>
      <c r="O22" s="7" t="inlineStr">
        <is>
          <t>Low</t>
        </is>
      </c>
      <c r="P22" s="7" t="n">
        <v>4</v>
      </c>
      <c r="Q22" s="6" t="inlineStr">
        <is>
          <t>appears independent</t>
        </is>
      </c>
      <c r="R22" s="6" t="inlineStr">
        <is>
          <t>Email barbshaw@gmail.com</t>
        </is>
      </c>
      <c r="S22" s="8" t="inlineStr">
        <is>
          <t>https://www.barbarashawgifts.com/contact-us/</t>
        </is>
      </c>
      <c r="T22" s="8" t="inlineStr">
        <is>
          <t>https://www.barbarashawgifts.com/contact-us/</t>
        </is>
      </c>
      <c r="U22" s="7" t="inlineStr">
        <is>
          <t>2026-10-25</t>
        </is>
      </c>
      <c r="V22" s="7" t="inlineStr">
        <is>
          <t>Not Contacted</t>
        </is>
      </c>
      <c r="W22" s="6" t="inlineStr">
        <is>
          <t>Email and phone confirmed on the official contact page (2026-10-25). Local brand with two of its own shops (Emek Refaim 6 and Shlomtzion St), not a chain. The contact page lists first names (Barbara, Boaz) without roles, so no contact person is recorded. No 2025-26 dated evidence found.</t>
        </is>
      </c>
      <c r="X22" s="5" t="inlineStr">
        <is>
          <t>שלום ברברה,
אני [השם שלך] מ-Perko. אנחנו בונים כרטיס נאמנות דיגיטלי משותף לעסקים בעמק רפאים: הלקוח סורק קוד בקופה, צובר הטבות לפי הכללים של כל עסק, ורואה באותה אפליקציה את כל העסקים המשתתפים ברחוב.
בשביל חנות מתנות היתרון העיקרי הוא החשיפה: לקוחות קבועים של בתי הקפה והמאפיות ברחוב יכולים לגלות אתכם, במיוחד לפני החגים. ההטבה יכולה להיות משהו קטן, כמו עטיפת מתנה או הנחה לקנייה הבאה.
אנחנו בגישה מוקדמת. ההצטרפות כרגע בחינם ובלי התחייבות לתשלום.
אשמח לשמוע אם זה מעניין אותך.
תודה,
[השם שלך]</t>
        </is>
      </c>
    </row>
    <row r="23" ht="96" customHeight="1">
      <c r="A23" s="9" t="inlineStr">
        <is>
          <t>סתיו תכשיטים</t>
        </is>
      </c>
      <c r="B23" s="10" t="inlineStr">
        <is>
          <t>Stav Jewelry</t>
        </is>
      </c>
      <c r="C23" s="10" t="inlineStr">
        <is>
          <t>Jewelry / gift boutique</t>
        </is>
      </c>
      <c r="D23" s="11" t="inlineStr">
        <is>
          <t>Emek Refaim</t>
        </is>
      </c>
      <c r="E23" s="10" t="inlineStr">
        <is>
          <t>40 Emek Refaim St, German Colony, Jerusalem</t>
        </is>
      </c>
      <c r="F23" s="10" t="inlineStr">
        <is>
          <t>02-563-7059</t>
        </is>
      </c>
      <c r="G23" s="12" t="inlineStr">
        <is>
          <t>stavjewelry@gmail.com</t>
        </is>
      </c>
      <c r="H23" s="12" t="inlineStr">
        <is>
          <t>http://www.stavjewelry.com/</t>
        </is>
      </c>
      <c r="I23" s="12" t="inlineStr">
        <is>
          <t>https://www.instagram.com/stav.jewelry</t>
        </is>
      </c>
      <c r="J23" s="12" t="inlineStr">
        <is>
          <t>https://www.facebook.com/stavjewelry</t>
        </is>
      </c>
      <c r="K23" s="10" t="inlineStr">
        <is>
          <t>Dalia Stav; Eyal Stav</t>
        </is>
      </c>
      <c r="L23" s="10" t="inlineStr">
        <is>
          <t>Founders / owners (designer couple)</t>
        </is>
      </c>
      <c r="M23" s="10" t="inlineStr">
        <is>
          <t>Jewelry designed and handmade in the shop's own workshop, in gold, silver and stones, since 1996.</t>
        </is>
      </c>
      <c r="N23" s="10" t="inlineStr">
        <is>
          <t>Few repeat purchases, but a long-standing, owner-run gift shop that would benefit from the network's discovery: café regulars finding a local gift shop. Its reward would be a higher-value gesture (e.g. a free repair or engraving) rather than stamps.</t>
        </is>
      </c>
      <c r="O23" s="11" t="inlineStr">
        <is>
          <t>Low</t>
        </is>
      </c>
      <c r="P23" s="11" t="n">
        <v>4</v>
      </c>
      <c r="Q23" s="10" t="inlineStr">
        <is>
          <t>verified independent</t>
        </is>
      </c>
      <c r="R23" s="10" t="inlineStr">
        <is>
          <t>Email stavjewelry@gmail.com</t>
        </is>
      </c>
      <c r="S23" s="12" t="inlineStr">
        <is>
          <t>http://www.stavjewelry.com/</t>
        </is>
      </c>
      <c r="T23" s="12" t="inlineStr">
        <is>
          <t>http://www.stavjewelry.com/</t>
        </is>
      </c>
      <c r="U23" s="11" t="inlineStr">
        <is>
          <t>2026-10-25</t>
        </is>
      </c>
      <c r="V23" s="11" t="inlineStr">
        <is>
          <t>Not Contacted</t>
        </is>
      </c>
      <c r="W23" s="10" t="inlineStr">
        <is>
          <t>Email and phone confirmed on the official site (2026-10-25); footer © 2026. Low purchase frequency, so better as a later-phase partner than a pilot anchor.</t>
        </is>
      </c>
      <c r="X23" s="9" t="inlineStr">
        <is>
          <t>שלום דליה ואייל,
אני [השם שלך] מ-Perko. סתיו תכשיטים הוא מהעסקים הוותיקים והמיוחדים בעמק רפאים, וזה בדיוק סוג המקום שאנחנו רוצים שאנשים מהשכונה יגלו.
אנחנו בונים כרטיס נאמנות דיגיטלי משותף לעסקים ברחוב. אצלכם זה לא יהיה כרטיס חותמות רגיל: אפשר להגדיר הטבה שמתאימה לתכשיטים, כמו ניקוי, תיקון או חריטה במתנה, ולהגיע ללקוחות של בתי הקפה והחנויות השכנות באותה אפליקציה.
אנחנו בגישה מוקדמת. ההצטרפות כרגע בחינם ובלי התחייבות לתשלום.
אשמח לשמוע אם זה מעניין אתכם, ולקפוץ לשיחה קצרה.
תודה,
[השם שלך]</t>
        </is>
      </c>
    </row>
  </sheetData>
  <autoFilter ref="A3:X23"/>
  <conditionalFormatting sqref="P4:P23">
    <cfRule type="cellIs" priority="1" operator="greaterThanOrEqual" dxfId="0">
      <formula>8</formula>
    </cfRule>
    <cfRule type="cellIs" priority="2" operator="between" dxfId="1">
      <formula>6</formula>
      <formula>7</formula>
    </cfRule>
  </conditionalFormatting>
  <conditionalFormatting sqref="A4:B23">
    <cfRule type="expression" priority="3" dxfId="0">
      <formula>$P4&gt;=8</formula>
    </cfRule>
  </conditionalFormatting>
  <conditionalFormatting sqref="O4:O23">
    <cfRule type="cellIs" priority="4" operator="equal" dxfId="2">
      <formula>"High"</formula>
    </cfRule>
  </conditionalFormatting>
  <hyperlinks>
    <hyperlink xmlns:r="http://schemas.openxmlformats.org/officeDocument/2006/relationships" ref="H4" r:id="rId1"/>
    <hyperlink xmlns:r="http://schemas.openxmlformats.org/officeDocument/2006/relationships" ref="I4" r:id="rId2"/>
    <hyperlink xmlns:r="http://schemas.openxmlformats.org/officeDocument/2006/relationships" ref="J4" r:id="rId3"/>
    <hyperlink xmlns:r="http://schemas.openxmlformats.org/officeDocument/2006/relationships" ref="S4" r:id="rId4"/>
    <hyperlink xmlns:r="http://schemas.openxmlformats.org/officeDocument/2006/relationships" ref="T4"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J5" r:id="rId9"/>
    <hyperlink xmlns:r="http://schemas.openxmlformats.org/officeDocument/2006/relationships" ref="S5" r:id="rId10"/>
    <hyperlink xmlns:r="http://schemas.openxmlformats.org/officeDocument/2006/relationships" ref="T5" r:id="rId11"/>
    <hyperlink xmlns:r="http://schemas.openxmlformats.org/officeDocument/2006/relationships" ref="G6" r:id="rId12"/>
    <hyperlink xmlns:r="http://schemas.openxmlformats.org/officeDocument/2006/relationships" ref="H6" r:id="rId13"/>
    <hyperlink xmlns:r="http://schemas.openxmlformats.org/officeDocument/2006/relationships" ref="I6" r:id="rId14"/>
    <hyperlink xmlns:r="http://schemas.openxmlformats.org/officeDocument/2006/relationships" ref="J6" r:id="rId15"/>
    <hyperlink xmlns:r="http://schemas.openxmlformats.org/officeDocument/2006/relationships" ref="S6" r:id="rId16"/>
    <hyperlink xmlns:r="http://schemas.openxmlformats.org/officeDocument/2006/relationships" ref="T6" r:id="rId17"/>
    <hyperlink xmlns:r="http://schemas.openxmlformats.org/officeDocument/2006/relationships" ref="H7" r:id="rId18"/>
    <hyperlink xmlns:r="http://schemas.openxmlformats.org/officeDocument/2006/relationships" ref="I7" r:id="rId19"/>
    <hyperlink xmlns:r="http://schemas.openxmlformats.org/officeDocument/2006/relationships" ref="S7" r:id="rId20"/>
    <hyperlink xmlns:r="http://schemas.openxmlformats.org/officeDocument/2006/relationships" ref="T7" r:id="rId21"/>
    <hyperlink xmlns:r="http://schemas.openxmlformats.org/officeDocument/2006/relationships" ref="H8" r:id="rId22"/>
    <hyperlink xmlns:r="http://schemas.openxmlformats.org/officeDocument/2006/relationships" ref="S8" r:id="rId23"/>
    <hyperlink xmlns:r="http://schemas.openxmlformats.org/officeDocument/2006/relationships" ref="T8" r:id="rId24"/>
    <hyperlink xmlns:r="http://schemas.openxmlformats.org/officeDocument/2006/relationships" ref="J9" r:id="rId25"/>
    <hyperlink xmlns:r="http://schemas.openxmlformats.org/officeDocument/2006/relationships" ref="S9" r:id="rId26"/>
    <hyperlink xmlns:r="http://schemas.openxmlformats.org/officeDocument/2006/relationships" ref="T9" r:id="rId27"/>
    <hyperlink xmlns:r="http://schemas.openxmlformats.org/officeDocument/2006/relationships" ref="H10" r:id="rId28"/>
    <hyperlink xmlns:r="http://schemas.openxmlformats.org/officeDocument/2006/relationships" ref="J10" r:id="rId29"/>
    <hyperlink xmlns:r="http://schemas.openxmlformats.org/officeDocument/2006/relationships" ref="S10" r:id="rId30"/>
    <hyperlink xmlns:r="http://schemas.openxmlformats.org/officeDocument/2006/relationships" ref="T10" r:id="rId31"/>
    <hyperlink xmlns:r="http://schemas.openxmlformats.org/officeDocument/2006/relationships" ref="J11" r:id="rId32"/>
    <hyperlink xmlns:r="http://schemas.openxmlformats.org/officeDocument/2006/relationships" ref="S11" r:id="rId33"/>
    <hyperlink xmlns:r="http://schemas.openxmlformats.org/officeDocument/2006/relationships" ref="T11" r:id="rId34"/>
    <hyperlink xmlns:r="http://schemas.openxmlformats.org/officeDocument/2006/relationships" ref="G12" r:id="rId35"/>
    <hyperlink xmlns:r="http://schemas.openxmlformats.org/officeDocument/2006/relationships" ref="H12" r:id="rId36"/>
    <hyperlink xmlns:r="http://schemas.openxmlformats.org/officeDocument/2006/relationships" ref="J12" r:id="rId37"/>
    <hyperlink xmlns:r="http://schemas.openxmlformats.org/officeDocument/2006/relationships" ref="S12" r:id="rId38"/>
    <hyperlink xmlns:r="http://schemas.openxmlformats.org/officeDocument/2006/relationships" ref="T12" r:id="rId39"/>
    <hyperlink xmlns:r="http://schemas.openxmlformats.org/officeDocument/2006/relationships" ref="G13" r:id="rId40"/>
    <hyperlink xmlns:r="http://schemas.openxmlformats.org/officeDocument/2006/relationships" ref="H13" r:id="rId41"/>
    <hyperlink xmlns:r="http://schemas.openxmlformats.org/officeDocument/2006/relationships" ref="S13" r:id="rId42"/>
    <hyperlink xmlns:r="http://schemas.openxmlformats.org/officeDocument/2006/relationships" ref="T13" r:id="rId43"/>
    <hyperlink xmlns:r="http://schemas.openxmlformats.org/officeDocument/2006/relationships" ref="H14" r:id="rId44"/>
    <hyperlink xmlns:r="http://schemas.openxmlformats.org/officeDocument/2006/relationships" ref="I14" r:id="rId45"/>
    <hyperlink xmlns:r="http://schemas.openxmlformats.org/officeDocument/2006/relationships" ref="J14" r:id="rId46"/>
    <hyperlink xmlns:r="http://schemas.openxmlformats.org/officeDocument/2006/relationships" ref="S14" r:id="rId47"/>
    <hyperlink xmlns:r="http://schemas.openxmlformats.org/officeDocument/2006/relationships" ref="T14" r:id="rId48"/>
    <hyperlink xmlns:r="http://schemas.openxmlformats.org/officeDocument/2006/relationships" ref="H15" r:id="rId49"/>
    <hyperlink xmlns:r="http://schemas.openxmlformats.org/officeDocument/2006/relationships" ref="J15" r:id="rId50"/>
    <hyperlink xmlns:r="http://schemas.openxmlformats.org/officeDocument/2006/relationships" ref="S15" r:id="rId51"/>
    <hyperlink xmlns:r="http://schemas.openxmlformats.org/officeDocument/2006/relationships" ref="T15" r:id="rId52"/>
    <hyperlink xmlns:r="http://schemas.openxmlformats.org/officeDocument/2006/relationships" ref="S16" r:id="rId53"/>
    <hyperlink xmlns:r="http://schemas.openxmlformats.org/officeDocument/2006/relationships" ref="T16" r:id="rId54"/>
    <hyperlink xmlns:r="http://schemas.openxmlformats.org/officeDocument/2006/relationships" ref="J17" r:id="rId55"/>
    <hyperlink xmlns:r="http://schemas.openxmlformats.org/officeDocument/2006/relationships" ref="S17" r:id="rId56"/>
    <hyperlink xmlns:r="http://schemas.openxmlformats.org/officeDocument/2006/relationships" ref="T17" r:id="rId57"/>
    <hyperlink xmlns:r="http://schemas.openxmlformats.org/officeDocument/2006/relationships" ref="H18" r:id="rId58"/>
    <hyperlink xmlns:r="http://schemas.openxmlformats.org/officeDocument/2006/relationships" ref="I18" r:id="rId59"/>
    <hyperlink xmlns:r="http://schemas.openxmlformats.org/officeDocument/2006/relationships" ref="S18" r:id="rId60"/>
    <hyperlink xmlns:r="http://schemas.openxmlformats.org/officeDocument/2006/relationships" ref="T18" r:id="rId61"/>
    <hyperlink xmlns:r="http://schemas.openxmlformats.org/officeDocument/2006/relationships" ref="S19" r:id="rId62"/>
    <hyperlink xmlns:r="http://schemas.openxmlformats.org/officeDocument/2006/relationships" ref="T19" r:id="rId63"/>
    <hyperlink xmlns:r="http://schemas.openxmlformats.org/officeDocument/2006/relationships" ref="S20" r:id="rId64"/>
    <hyperlink xmlns:r="http://schemas.openxmlformats.org/officeDocument/2006/relationships" ref="T20" r:id="rId65"/>
    <hyperlink xmlns:r="http://schemas.openxmlformats.org/officeDocument/2006/relationships" ref="S21" r:id="rId66"/>
    <hyperlink xmlns:r="http://schemas.openxmlformats.org/officeDocument/2006/relationships" ref="T21" r:id="rId67"/>
    <hyperlink xmlns:r="http://schemas.openxmlformats.org/officeDocument/2006/relationships" ref="G22" r:id="rId68"/>
    <hyperlink xmlns:r="http://schemas.openxmlformats.org/officeDocument/2006/relationships" ref="H22" r:id="rId69"/>
    <hyperlink xmlns:r="http://schemas.openxmlformats.org/officeDocument/2006/relationships" ref="S22" r:id="rId70"/>
    <hyperlink xmlns:r="http://schemas.openxmlformats.org/officeDocument/2006/relationships" ref="T22" r:id="rId71"/>
    <hyperlink xmlns:r="http://schemas.openxmlformats.org/officeDocument/2006/relationships" ref="G23" r:id="rId72"/>
    <hyperlink xmlns:r="http://schemas.openxmlformats.org/officeDocument/2006/relationships" ref="H23" r:id="rId73"/>
    <hyperlink xmlns:r="http://schemas.openxmlformats.org/officeDocument/2006/relationships" ref="I23" r:id="rId74"/>
    <hyperlink xmlns:r="http://schemas.openxmlformats.org/officeDocument/2006/relationships" ref="J23" r:id="rId75"/>
    <hyperlink xmlns:r="http://schemas.openxmlformats.org/officeDocument/2006/relationships" ref="S23" r:id="rId76"/>
    <hyperlink xmlns:r="http://schemas.openxmlformats.org/officeDocument/2006/relationships" ref="T23" r:id="rId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2"/>
  <sheetViews>
    <sheetView showGridLines="0" workbookViewId="0">
      <selection activeCell="A1" sqref="A1"/>
    </sheetView>
  </sheetViews>
  <sheetFormatPr baseColWidth="8" defaultRowHeight="15"/>
  <cols>
    <col width="38" customWidth="1" min="1" max="1"/>
    <col width="14" customWidth="1" min="2" max="2"/>
    <col width="14" customWidth="1" min="3" max="3"/>
  </cols>
  <sheetData>
    <row r="1">
      <c r="A1" s="1" t="inlineStr">
        <is>
          <t>Perko - Prospect Summary</t>
        </is>
      </c>
      <c r="B1" s="2" t="n"/>
      <c r="C1" s="2" t="n"/>
    </row>
    <row r="2">
      <c r="A2" s="13" t="inlineStr">
        <is>
          <t>Counts are formulas over the Prospects sheet, so they update when rows are edited.</t>
        </is>
      </c>
    </row>
    <row r="4">
      <c r="A4" s="14" t="inlineStr">
        <is>
          <t>Totals</t>
        </is>
      </c>
      <c r="B4" s="15" t="n"/>
      <c r="C4" s="15" t="n"/>
    </row>
    <row r="5">
      <c r="A5" s="16" t="inlineStr">
        <is>
          <t>Businesses in the list</t>
        </is>
      </c>
      <c r="B5" s="16">
        <f>COUNTA(Prospects!$B$4:$B$23)</f>
        <v/>
      </c>
      <c r="C5" s="16" t="n"/>
    </row>
    <row r="7">
      <c r="A7" s="14" t="inlineStr">
        <is>
          <t>By street</t>
        </is>
      </c>
      <c r="B7" s="15" t="n"/>
      <c r="C7" s="15" t="n"/>
    </row>
    <row r="8">
      <c r="A8" s="17" t="inlineStr">
        <is>
          <t>Derech Beit Lehem</t>
        </is>
      </c>
      <c r="B8" s="17">
        <f>COUNTIF(Prospects!$D$4:$D$23,"Derech Beit Lehem")</f>
        <v/>
      </c>
      <c r="C8" s="18">
        <f>B8/20</f>
        <v/>
      </c>
    </row>
    <row r="9">
      <c r="A9" s="19" t="inlineStr">
        <is>
          <t>Emek Refaim</t>
        </is>
      </c>
      <c r="B9" s="19">
        <f>COUNTIF(Prospects!$D$4:$D$23,"Emek Refaim")</f>
        <v/>
      </c>
      <c r="C9" s="20">
        <f>B9/20</f>
        <v/>
      </c>
    </row>
    <row r="11">
      <c r="A11" s="14" t="inlineStr">
        <is>
          <t>By business category</t>
        </is>
      </c>
      <c r="B11" s="15" t="n"/>
      <c r="C11" s="15" t="n"/>
    </row>
    <row r="12">
      <c r="A12" s="17" t="inlineStr">
        <is>
          <t>Florist</t>
        </is>
      </c>
      <c r="B12" s="17">
        <f>COUNTIF(Prospects!$C$4:$C$23,"Florist")</f>
        <v/>
      </c>
      <c r="C12" s="18">
        <f>B12/20</f>
        <v/>
      </c>
    </row>
    <row r="13">
      <c r="A13" s="19" t="inlineStr">
        <is>
          <t>Café / coffee roaster</t>
        </is>
      </c>
      <c r="B13" s="19">
        <f>COUNTIF(Prospects!$C$4:$C$23,"Café / coffee roaster")</f>
        <v/>
      </c>
      <c r="C13" s="20">
        <f>B13/20</f>
        <v/>
      </c>
    </row>
    <row r="14">
      <c r="A14" s="17" t="inlineStr">
        <is>
          <t>Casual restaurant</t>
        </is>
      </c>
      <c r="B14" s="17">
        <f>COUNTIF(Prospects!$C$4:$C$23,"Casual restaurant")</f>
        <v/>
      </c>
      <c r="C14" s="18">
        <f>B14/20</f>
        <v/>
      </c>
    </row>
    <row r="15">
      <c r="A15" s="19" t="inlineStr">
        <is>
          <t>Café / deli</t>
        </is>
      </c>
      <c r="B15" s="19">
        <f>COUNTIF(Prospects!$C$4:$C$23,"Café / deli")</f>
        <v/>
      </c>
      <c r="C15" s="20">
        <f>B15/20</f>
        <v/>
      </c>
    </row>
    <row r="16">
      <c r="A16" s="17" t="inlineStr">
        <is>
          <t>Café / bakery</t>
        </is>
      </c>
      <c r="B16" s="17">
        <f>COUNTIF(Prospects!$C$4:$C$23,"Café / bakery")</f>
        <v/>
      </c>
      <c r="C16" s="18">
        <f>B16/20</f>
        <v/>
      </c>
    </row>
    <row r="17">
      <c r="A17" s="19" t="inlineStr">
        <is>
          <t>Café</t>
        </is>
      </c>
      <c r="B17" s="19">
        <f>COUNTIF(Prospects!$C$4:$C$23,"Café")</f>
        <v/>
      </c>
      <c r="C17" s="20">
        <f>B17/20</f>
        <v/>
      </c>
    </row>
    <row r="18">
      <c r="A18" s="17" t="inlineStr">
        <is>
          <t>Ice cream / gelato</t>
        </is>
      </c>
      <c r="B18" s="17">
        <f>COUNTIF(Prospects!$C$4:$C$23,"Ice cream / gelato")</f>
        <v/>
      </c>
      <c r="C18" s="18">
        <f>B18/20</f>
        <v/>
      </c>
    </row>
    <row r="19">
      <c r="A19" s="19" t="inlineStr">
        <is>
          <t>Deli / tapas bar</t>
        </is>
      </c>
      <c r="B19" s="19">
        <f>COUNTIF(Prospects!$C$4:$C$23,"Deli / tapas bar")</f>
        <v/>
      </c>
      <c r="C19" s="20">
        <f>B19/20</f>
        <v/>
      </c>
    </row>
    <row r="20">
      <c r="A20" s="17" t="inlineStr">
        <is>
          <t>Café / restaurant</t>
        </is>
      </c>
      <c r="B20" s="17">
        <f>COUNTIF(Prospects!$C$4:$C$23,"Café / restaurant")</f>
        <v/>
      </c>
      <c r="C20" s="18">
        <f>B20/20</f>
        <v/>
      </c>
    </row>
    <row r="21">
      <c r="A21" s="19" t="inlineStr">
        <is>
          <t>Butcher / deli</t>
        </is>
      </c>
      <c r="B21" s="19">
        <f>COUNTIF(Prospects!$C$4:$C$23,"Butcher / deli")</f>
        <v/>
      </c>
      <c r="C21" s="20">
        <f>B21/20</f>
        <v/>
      </c>
    </row>
    <row r="22">
      <c r="A22" s="17" t="inlineStr">
        <is>
          <t>Bakery / café</t>
        </is>
      </c>
      <c r="B22" s="17">
        <f>COUNTIF(Prospects!$C$4:$C$23,"Bakery / café")</f>
        <v/>
      </c>
      <c r="C22" s="18">
        <f>B22/20</f>
        <v/>
      </c>
    </row>
    <row r="23">
      <c r="A23" s="19" t="inlineStr">
        <is>
          <t>Tea house / café</t>
        </is>
      </c>
      <c r="B23" s="19">
        <f>COUNTIF(Prospects!$C$4:$C$23,"Tea house / café")</f>
        <v/>
      </c>
      <c r="C23" s="20">
        <f>B23/20</f>
        <v/>
      </c>
    </row>
    <row r="24">
      <c r="A24" s="17" t="inlineStr">
        <is>
          <t>Restaurant / bakery</t>
        </is>
      </c>
      <c r="B24" s="17">
        <f>COUNTIF(Prospects!$C$4:$C$23,"Restaurant / bakery")</f>
        <v/>
      </c>
      <c r="C24" s="18">
        <f>B24/20</f>
        <v/>
      </c>
    </row>
    <row r="25">
      <c r="A25" s="19" t="inlineStr">
        <is>
          <t>Restaurant / bar</t>
        </is>
      </c>
      <c r="B25" s="19">
        <f>COUNTIF(Prospects!$C$4:$C$23,"Restaurant / bar")</f>
        <v/>
      </c>
      <c r="C25" s="20">
        <f>B25/20</f>
        <v/>
      </c>
    </row>
    <row r="26">
      <c r="A26" s="17" t="inlineStr">
        <is>
          <t>Gift / Judaica boutique</t>
        </is>
      </c>
      <c r="B26" s="17">
        <f>COUNTIF(Prospects!$C$4:$C$23,"Gift / Judaica boutique")</f>
        <v/>
      </c>
      <c r="C26" s="18">
        <f>B26/20</f>
        <v/>
      </c>
    </row>
    <row r="27">
      <c r="A27" s="19" t="inlineStr">
        <is>
          <t>Jewelry / gift boutique</t>
        </is>
      </c>
      <c r="B27" s="19">
        <f>COUNTIF(Prospects!$C$4:$C$23,"Jewelry / gift boutique")</f>
        <v/>
      </c>
      <c r="C27" s="20">
        <f>B27/20</f>
        <v/>
      </c>
    </row>
    <row r="29">
      <c r="A29" s="14" t="inlineStr">
        <is>
          <t>By Perko fit score</t>
        </is>
      </c>
      <c r="B29" s="15" t="n"/>
      <c r="C29" s="15" t="n"/>
    </row>
    <row r="30">
      <c r="A30" s="17" t="inlineStr">
        <is>
          <t>High fit (8-10)</t>
        </is>
      </c>
      <c r="B30" s="17">
        <f>COUNTIFS(Prospects!$P$4:$P$23,"&gt;=8",Prospects!$P$4:$P$23,"&lt;=10")</f>
        <v/>
      </c>
      <c r="C30" s="18">
        <f>B30/20</f>
        <v/>
      </c>
    </row>
    <row r="31">
      <c r="A31" s="19" t="inlineStr">
        <is>
          <t>Medium fit (6-7)</t>
        </is>
      </c>
      <c r="B31" s="19">
        <f>COUNTIFS(Prospects!$P$4:$P$23,"&gt;=6",Prospects!$P$4:$P$23,"&lt;=7")</f>
        <v/>
      </c>
      <c r="C31" s="20">
        <f>B31/20</f>
        <v/>
      </c>
    </row>
    <row r="32">
      <c r="A32" s="17" t="inlineStr">
        <is>
          <t>Lower fit (1-5)</t>
        </is>
      </c>
      <c r="B32" s="17">
        <f>COUNTIFS(Prospects!$P$4:$P$23,"&gt;=1",Prospects!$P$4:$P$23,"&lt;=5")</f>
        <v/>
      </c>
      <c r="C32" s="18">
        <f>B32/20</f>
        <v/>
      </c>
    </row>
    <row r="33">
      <c r="A33" s="19" t="inlineStr">
        <is>
          <t>Average fit score</t>
        </is>
      </c>
      <c r="B33" s="19">
        <f>ROUND(AVERAGE(Prospects!$P$4:$P$23),1)</f>
        <v/>
      </c>
      <c r="C33" s="19" t="n"/>
    </row>
    <row r="35">
      <c r="A35" s="14" t="inlineStr">
        <is>
          <t>By repeat-customer potential</t>
        </is>
      </c>
      <c r="B35" s="15" t="n"/>
      <c r="C35" s="15" t="n"/>
    </row>
    <row r="36">
      <c r="A36" s="17" t="inlineStr">
        <is>
          <t>High</t>
        </is>
      </c>
      <c r="B36" s="17">
        <f>COUNTIF(Prospects!$O$4:$O$23,"High")</f>
        <v/>
      </c>
      <c r="C36" s="18">
        <f>B36/20</f>
        <v/>
      </c>
    </row>
    <row r="37">
      <c r="A37" s="19" t="inlineStr">
        <is>
          <t>Medium</t>
        </is>
      </c>
      <c r="B37" s="19">
        <f>COUNTIF(Prospects!$O$4:$O$23,"Medium")</f>
        <v/>
      </c>
      <c r="C37" s="20">
        <f>B37/20</f>
        <v/>
      </c>
    </row>
    <row r="38">
      <c r="A38" s="17" t="inlineStr">
        <is>
          <t>Low</t>
        </is>
      </c>
      <c r="B38" s="17">
        <f>COUNTIF(Prospects!$O$4:$O$23,"Low")</f>
        <v/>
      </c>
      <c r="C38" s="18">
        <f>B38/20</f>
        <v/>
      </c>
    </row>
    <row r="40">
      <c r="A40" s="14" t="inlineStr">
        <is>
          <t>Contact-information completeness</t>
        </is>
      </c>
      <c r="B40" s="15" t="n"/>
      <c r="C40" s="15" t="n"/>
    </row>
    <row r="41">
      <c r="A41" s="19" t="inlineStr">
        <is>
          <t>Public phone listed (official site, directory or press)</t>
        </is>
      </c>
      <c r="B41" s="19">
        <f>COUNTA(Prospects!$F$4:$F$23)</f>
        <v/>
      </c>
      <c r="C41" s="20">
        <f>B41/20</f>
        <v/>
      </c>
    </row>
    <row r="42">
      <c r="A42" s="17" t="inlineStr">
        <is>
          <t>Public email published by the business</t>
        </is>
      </c>
      <c r="B42" s="17">
        <f>COUNTA(Prospects!$G$4:$G$23)</f>
        <v/>
      </c>
      <c r="C42" s="18">
        <f>B42/20</f>
        <v/>
      </c>
    </row>
    <row r="43">
      <c r="A43" s="19" t="inlineStr">
        <is>
          <t>Official website</t>
        </is>
      </c>
      <c r="B43" s="19">
        <f>COUNTA(Prospects!$H$4:$H$23)</f>
        <v/>
      </c>
      <c r="C43" s="20">
        <f>B43/20</f>
        <v/>
      </c>
    </row>
    <row r="44">
      <c r="A44" s="17" t="inlineStr">
        <is>
          <t>Instagram profile</t>
        </is>
      </c>
      <c r="B44" s="17">
        <f>COUNTA(Prospects!$I$4:$I$23)</f>
        <v/>
      </c>
      <c r="C44" s="18">
        <f>B44/20</f>
        <v/>
      </c>
    </row>
    <row r="45">
      <c r="A45" s="19" t="inlineStr">
        <is>
          <t>Other social profile</t>
        </is>
      </c>
      <c r="B45" s="19">
        <f>COUNTA(Prospects!$J$4:$J$23)</f>
        <v/>
      </c>
      <c r="C45" s="20">
        <f>B45/20</f>
        <v/>
      </c>
    </row>
    <row r="46">
      <c r="A46" s="17" t="inlineStr">
        <is>
          <t>Named contact person</t>
        </is>
      </c>
      <c r="B46" s="17">
        <f>COUNTA(Prospects!$K$4:$K$23)</f>
        <v/>
      </c>
      <c r="C46" s="18">
        <f>B46/20</f>
        <v/>
      </c>
    </row>
    <row r="47">
      <c r="A47" s="19" t="inlineStr">
        <is>
          <t>Phone confirmed on the business's own site</t>
        </is>
      </c>
      <c r="B47" s="19" t="n">
        <v>12</v>
      </c>
      <c r="C47" s="20" t="n">
        <v>0.6</v>
      </c>
    </row>
    <row r="49">
      <c r="A49" s="14" t="inlineStr">
        <is>
          <t>Independence status</t>
        </is>
      </c>
      <c r="B49" s="15" t="n"/>
      <c r="C49" s="15" t="n"/>
    </row>
    <row r="50">
      <c r="A50" s="17" t="inlineStr">
        <is>
          <t>verified independent</t>
        </is>
      </c>
      <c r="B50" s="17">
        <f>COUNTIF(Prospects!$Q$4:$Q$23,"verified independent")</f>
        <v/>
      </c>
      <c r="C50" s="18">
        <f>B50/20</f>
        <v/>
      </c>
    </row>
    <row r="51">
      <c r="A51" s="19" t="inlineStr">
        <is>
          <t>appears independent</t>
        </is>
      </c>
      <c r="B51" s="19">
        <f>COUNTIF(Prospects!$Q$4:$Q$23,"appears independent")</f>
        <v/>
      </c>
      <c r="C51" s="20">
        <f>B51/20</f>
        <v/>
      </c>
    </row>
    <row r="52">
      <c r="A52" s="17" t="inlineStr">
        <is>
          <t>uncertain</t>
        </is>
      </c>
      <c r="B52" s="17">
        <f>COUNTIF(Prospects!$Q$4:$Q$23,"uncertain")</f>
        <v/>
      </c>
      <c r="C52" s="18">
        <f>B52/20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2026-10-25T15:38:17Z</dcterms:created>
  <dcterms:modified xmlns:dcterms="http://purl.org/dc/terms/" xmlns:xsi="http://www.w3.org/2001/XMLSchema-instance" xsi:type="dcterms:W3CDTF">2026-10-25T15:38:17Z</dcterms:modified>
</cp:coreProperties>
</file>