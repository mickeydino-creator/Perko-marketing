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spect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'Prospects'!$A$3:$W$23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1130F"/>
      <sz val="15"/>
    </font>
    <font>
      <name val="Arial"/>
      <color rgb="00303626"/>
      <sz val="10"/>
    </font>
    <font>
      <name val="Arial"/>
      <b val="1"/>
      <color rgb="00D7FF35"/>
      <sz val="11"/>
    </font>
    <font>
      <name val="Arial"/>
      <color rgb="0011130F"/>
      <sz val="10"/>
    </font>
    <font>
      <name val="Arial"/>
      <color rgb="001F4E00"/>
      <sz val="10"/>
      <u val="single"/>
    </font>
    <font>
      <name val="Arial"/>
      <i val="1"/>
      <color rgb="00303626"/>
      <sz val="9"/>
    </font>
    <font>
      <name val="Arial"/>
      <b val="1"/>
      <color rgb="00D7FF35"/>
      <sz val="12"/>
    </font>
    <font>
      <name val="Arial"/>
      <b val="1"/>
      <color rgb="0011130F"/>
      <sz val="10"/>
    </font>
  </fonts>
  <fills count="5">
    <fill>
      <patternFill/>
    </fill>
    <fill>
      <patternFill patternType="gray125"/>
    </fill>
    <fill>
      <patternFill patternType="solid">
        <fgColor rgb="00D7FF35"/>
      </patternFill>
    </fill>
    <fill>
      <patternFill patternType="solid">
        <fgColor rgb="0011130F"/>
      </patternFill>
    </fill>
    <fill>
      <patternFill patternType="solid">
        <fgColor rgb="00F8F8F4"/>
      </patternFill>
    </fill>
  </fills>
  <borders count="2">
    <border>
      <left/>
      <right/>
      <top/>
      <bottom/>
      <diagonal/>
    </border>
    <border>
      <left style="thin">
        <color rgb="00D8DACE"/>
      </left>
      <right style="thin">
        <color rgb="00D8DACE"/>
      </right>
      <top style="thin">
        <color rgb="00D8DACE"/>
      </top>
      <bottom style="thin">
        <color rgb="00D8DAC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8" fillId="0" borderId="1" pivotButton="0" quotePrefix="0" xfId="0"/>
    <xf numFmtId="0" fontId="4" fillId="4" borderId="1" pivotButton="0" quotePrefix="0" xfId="0"/>
    <xf numFmtId="9" fontId="4" fillId="4" borderId="1" pivotButton="0" quotePrefix="0" xfId="0"/>
    <xf numFmtId="0" fontId="4" fillId="0" borderId="1" pivotButton="0" quotePrefix="0" xfId="0"/>
    <xf numFmtId="9" fontId="4" fillId="0" borderId="1" pivotButton="0" quotePrefix="0" xfId="0"/>
  </cellXfs>
  <cellStyles count="1">
    <cellStyle name="Normal" xfId="0" builtinId="0" hidden="0"/>
  </cellStyles>
  <dxfs count="3">
    <dxf>
      <font>
        <b val="1"/>
        <color rgb="0011130F"/>
      </font>
      <fill>
        <patternFill patternType="solid">
          <fgColor rgb="00D7FF35"/>
        </patternFill>
      </fill>
    </dxf>
    <dxf>
      <font>
        <color rgb="0011130F"/>
      </font>
      <fill>
        <patternFill patternType="solid">
          <fgColor rgb="00EEFFB0"/>
        </patternFill>
      </fill>
    </dxf>
    <dxf>
      <font>
        <b val="1"/>
        <color rgb="0011130F"/>
      </font>
      <fill>
        <patternFill patternType="solid">
          <fgColor rgb="00BCE82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irmacoffee.com" TargetMode="External" Id="rId1"/><Relationship Type="http://schemas.openxmlformats.org/officeDocument/2006/relationships/hyperlink" Target="https://www.instagram.com/birmacoffee" TargetMode="External" Id="rId2"/><Relationship Type="http://schemas.openxmlformats.org/officeDocument/2006/relationships/hyperlink" Target="https://www.facebook.com/birmacoffee" TargetMode="External" Id="rId3"/><Relationship Type="http://schemas.openxmlformats.org/officeDocument/2006/relationships/hyperlink" Target="https://birmacoffee.com" TargetMode="External" Id="rId4"/><Relationship Type="http://schemas.openxmlformats.org/officeDocument/2006/relationships/hyperlink" Target="https://birmacoffee.com" TargetMode="External" Id="rId5"/><Relationship Type="http://schemas.openxmlformats.org/officeDocument/2006/relationships/hyperlink" Target="mailto:kalocafe@gmail.com" TargetMode="External" Id="rId6"/><Relationship Type="http://schemas.openxmlformats.org/officeDocument/2006/relationships/hyperlink" Target="https://www.kalocafe.co.il/" TargetMode="External" Id="rId7"/><Relationship Type="http://schemas.openxmlformats.org/officeDocument/2006/relationships/hyperlink" Target="https://www.instagram.com/kalocafejerusalem" TargetMode="External" Id="rId8"/><Relationship Type="http://schemas.openxmlformats.org/officeDocument/2006/relationships/hyperlink" Target="https://www.facebook.com/kalocafe/" TargetMode="External" Id="rId9"/><Relationship Type="http://schemas.openxmlformats.org/officeDocument/2006/relationships/hyperlink" Target="https://he.wikipedia.org/wiki/%D7%93%D7%A8%D7%9A_%D7%91%D7%99%D7%AA_%D7%9C%D7%97%D7%9D" TargetMode="External" Id="rId10"/><Relationship Type="http://schemas.openxmlformats.org/officeDocument/2006/relationships/hyperlink" Target="https://www.kalocafe.co.il/contact-us/" TargetMode="External" Id="rId11"/><Relationship Type="http://schemas.openxmlformats.org/officeDocument/2006/relationships/hyperlink" Target="mailto:coffeemill99@gmail.com" TargetMode="External" Id="rId12"/><Relationship Type="http://schemas.openxmlformats.org/officeDocument/2006/relationships/hyperlink" Target="https://www.thecoffeemill.co.il/en" TargetMode="External" Id="rId13"/><Relationship Type="http://schemas.openxmlformats.org/officeDocument/2006/relationships/hyperlink" Target="https://www.instagram.com/thecoffeemillil" TargetMode="External" Id="rId14"/><Relationship Type="http://schemas.openxmlformats.org/officeDocument/2006/relationships/hyperlink" Target="https://www.facebook.com/coffeemill99" TargetMode="External" Id="rId15"/><Relationship Type="http://schemas.openxmlformats.org/officeDocument/2006/relationships/hyperlink" Target="https://www.thecoffeemill.co.il/en/about" TargetMode="External" Id="rId16"/><Relationship Type="http://schemas.openxmlformats.org/officeDocument/2006/relationships/hyperlink" Target="https://www.thecoffeemill.co.il/en/about" TargetMode="External" Id="rId17"/><Relationship Type="http://schemas.openxmlformats.org/officeDocument/2006/relationships/hyperlink" Target="https://casalavi.webflow.io/" TargetMode="External" Id="rId18"/><Relationship Type="http://schemas.openxmlformats.org/officeDocument/2006/relationships/hyperlink" Target="https://www.instagram.com/casalavicafe" TargetMode="External" Id="rId19"/><Relationship Type="http://schemas.openxmlformats.org/officeDocument/2006/relationships/hyperlink" Target="https://casalavi.webflow.io/" TargetMode="External" Id="rId20"/><Relationship Type="http://schemas.openxmlformats.org/officeDocument/2006/relationships/hyperlink" Target="https://www.rest.co.il/rest/80359561/" TargetMode="External" Id="rId21"/><Relationship Type="http://schemas.openxmlformats.org/officeDocument/2006/relationships/hyperlink" Target="https://emekflowers.co.il/" TargetMode="External" Id="rId22"/><Relationship Type="http://schemas.openxmlformats.org/officeDocument/2006/relationships/hyperlink" Target="https://emekflowers.co.il/" TargetMode="External" Id="rId23"/><Relationship Type="http://schemas.openxmlformats.org/officeDocument/2006/relationships/hyperlink" Target="https://emekflowers.co.il/" TargetMode="External" Id="rId24"/><Relationship Type="http://schemas.openxmlformats.org/officeDocument/2006/relationships/hyperlink" Target="https://wolt.com/he/isr/jerusalem/venue/itziks-place" TargetMode="External" Id="rId25"/><Relationship Type="http://schemas.openxmlformats.org/officeDocument/2006/relationships/hyperlink" Target="https://www.rest.co.il/rest/80214546/" TargetMode="External" Id="rId26"/><Relationship Type="http://schemas.openxmlformats.org/officeDocument/2006/relationships/hyperlink" Target="https://www.rest.co.il/rest/80214546/" TargetMode="External" Id="rId27"/><Relationship Type="http://schemas.openxmlformats.org/officeDocument/2006/relationships/hyperlink" Target="https://tziga.co.il/" TargetMode="External" Id="rId28"/><Relationship Type="http://schemas.openxmlformats.org/officeDocument/2006/relationships/hyperlink" Target="https://wolt.com/he/isr/jerusalem/restaurant/tziga-ice-cream" TargetMode="External" Id="rId29"/><Relationship Type="http://schemas.openxmlformats.org/officeDocument/2006/relationships/hyperlink" Target="https://tziga.co.il/" TargetMode="External" Id="rId30"/><Relationship Type="http://schemas.openxmlformats.org/officeDocument/2006/relationships/hyperlink" Target="https://tziga.co.il/" TargetMode="External" Id="rId31"/><Relationship Type="http://schemas.openxmlformats.org/officeDocument/2006/relationships/hyperlink" Target="https://www.facebook.com/bresaola.jlm/" TargetMode="External" Id="rId32"/><Relationship Type="http://schemas.openxmlformats.org/officeDocument/2006/relationships/hyperlink" Target="https://wolt.com/he/isr/jerusalem/restaurant/bresaola" TargetMode="External" Id="rId33"/><Relationship Type="http://schemas.openxmlformats.org/officeDocument/2006/relationships/hyperlink" Target="https://www.d.co.il/80361096/30455/" TargetMode="External" Id="rId34"/><Relationship Type="http://schemas.openxmlformats.org/officeDocument/2006/relationships/hyperlink" Target="mailto:erezprachim@gmail.com" TargetMode="External" Id="rId35"/><Relationship Type="http://schemas.openxmlformats.org/officeDocument/2006/relationships/hyperlink" Target="https://erez-flowers.co.il/" TargetMode="External" Id="rId36"/><Relationship Type="http://schemas.openxmlformats.org/officeDocument/2006/relationships/hyperlink" Target="https://wolt.com/en/isr/jerusalem/venue/erezer-emek-refaim" TargetMode="External" Id="rId37"/><Relationship Type="http://schemas.openxmlformats.org/officeDocument/2006/relationships/hyperlink" Target="https://erez-flowers.co.il/store/" TargetMode="External" Id="rId38"/><Relationship Type="http://schemas.openxmlformats.org/officeDocument/2006/relationships/hyperlink" Target="https://erez-flowers.co.il/" TargetMode="External" Id="rId39"/><Relationship Type="http://schemas.openxmlformats.org/officeDocument/2006/relationships/hyperlink" Target="mailto:info@floraflower.co.il" TargetMode="External" Id="rId40"/><Relationship Type="http://schemas.openxmlformats.org/officeDocument/2006/relationships/hyperlink" Target="https://www.floraflower.co.il/" TargetMode="External" Id="rId41"/><Relationship Type="http://schemas.openxmlformats.org/officeDocument/2006/relationships/hyperlink" Target="https://www.floraflower.co.il/" TargetMode="External" Id="rId42"/><Relationship Type="http://schemas.openxmlformats.org/officeDocument/2006/relationships/hyperlink" Target="https://www.floraflower.co.il/" TargetMode="External" Id="rId43"/><Relationship Type="http://schemas.openxmlformats.org/officeDocument/2006/relationships/hyperlink" Target="https://www.grand-cafe.co.il/" TargetMode="External" Id="rId44"/><Relationship Type="http://schemas.openxmlformats.org/officeDocument/2006/relationships/hyperlink" Target="https://www.instagram.com/grand.cafe_/" TargetMode="External" Id="rId45"/><Relationship Type="http://schemas.openxmlformats.org/officeDocument/2006/relationships/hyperlink" Target="https://www.facebook.com/grandcafe70" TargetMode="External" Id="rId46"/><Relationship Type="http://schemas.openxmlformats.org/officeDocument/2006/relationships/hyperlink" Target="https://jewishlink.news/a-jerusalem-restaurant-to-remember-in-baka-the-grand-cafe/" TargetMode="External" Id="rId47"/><Relationship Type="http://schemas.openxmlformats.org/officeDocument/2006/relationships/hyperlink" Target="https://www.grand-cafe.co.il/" TargetMode="External" Id="rId48"/><Relationship Type="http://schemas.openxmlformats.org/officeDocument/2006/relationships/hyperlink" Target="https://lecharolais.co.il/" TargetMode="External" Id="rId49"/><Relationship Type="http://schemas.openxmlformats.org/officeDocument/2006/relationships/hyperlink" Target="https://www.facebook.com/lecharolaisjerusalem/" TargetMode="External" Id="rId50"/><Relationship Type="http://schemas.openxmlformats.org/officeDocument/2006/relationships/hyperlink" Target="https://lecharolais.co.il/" TargetMode="External" Id="rId51"/><Relationship Type="http://schemas.openxmlformats.org/officeDocument/2006/relationships/hyperlink" Target="https://lecharolais.co.il/" TargetMode="External" Id="rId52"/><Relationship Type="http://schemas.openxmlformats.org/officeDocument/2006/relationships/hyperlink" Target="https://www.rest.co.il/rest/80209734/" TargetMode="External" Id="rId53"/><Relationship Type="http://schemas.openxmlformats.org/officeDocument/2006/relationships/hyperlink" Target="https://www.rest.co.il/rest/80209734/" TargetMode="External" Id="rId54"/><Relationship Type="http://schemas.openxmlformats.org/officeDocument/2006/relationships/hyperlink" Target="https://wolt.com/en/isr/jerusalem/restaurant/buchmans-diner" TargetMode="External" Id="rId55"/><Relationship Type="http://schemas.openxmlformats.org/officeDocument/2006/relationships/hyperlink" Target="https://jpost.com/food-recipes/article-829474" TargetMode="External" Id="rId56"/><Relationship Type="http://schemas.openxmlformats.org/officeDocument/2006/relationships/hyperlink" Target="https://jpost.com/food-recipes/article-829474" TargetMode="External" Id="rId57"/><Relationship Type="http://schemas.openxmlformats.org/officeDocument/2006/relationships/hyperlink" Target="https://kumkumteahouse.com/" TargetMode="External" Id="rId58"/><Relationship Type="http://schemas.openxmlformats.org/officeDocument/2006/relationships/hyperlink" Target="https://www.instagram.com/kumkum.tea.house" TargetMode="External" Id="rId59"/><Relationship Type="http://schemas.openxmlformats.org/officeDocument/2006/relationships/hyperlink" Target="https://www.timesofisrael.com/elisheva-levy-jerusalems-fairy-godmother/" TargetMode="External" Id="rId60"/><Relationship Type="http://schemas.openxmlformats.org/officeDocument/2006/relationships/hyperlink" Target="https://kumkumteahouse.com/" TargetMode="External" Id="rId61"/><Relationship Type="http://schemas.openxmlformats.org/officeDocument/2006/relationships/hyperlink" Target="https://www.itraveljerusalem.com/rst/focaccia-moshava/" TargetMode="External" Id="rId62"/><Relationship Type="http://schemas.openxmlformats.org/officeDocument/2006/relationships/hyperlink" Target="https://www.rest.co.il/restaurants/jerusalem/emek-refaim/" TargetMode="External" Id="rId63"/><Relationship Type="http://schemas.openxmlformats.org/officeDocument/2006/relationships/hyperlink" Target="https://www.rest.co.il/rest/80164067/" TargetMode="External" Id="rId64"/><Relationship Type="http://schemas.openxmlformats.org/officeDocument/2006/relationships/hyperlink" Target="https://www.rest.co.il/rest/80164067/" TargetMode="External" Id="rId65"/><Relationship Type="http://schemas.openxmlformats.org/officeDocument/2006/relationships/hyperlink" Target="https://www.rest.co.il/rest/80195583/" TargetMode="External" Id="rId66"/><Relationship Type="http://schemas.openxmlformats.org/officeDocument/2006/relationships/hyperlink" Target="https://www.rest.co.il/rest/80195583/" TargetMode="External" Id="rId67"/><Relationship Type="http://schemas.openxmlformats.org/officeDocument/2006/relationships/hyperlink" Target="mailto:barbshaw@gmail.com" TargetMode="External" Id="rId68"/><Relationship Type="http://schemas.openxmlformats.org/officeDocument/2006/relationships/hyperlink" Target="https://www.barbarashawgifts.com/" TargetMode="External" Id="rId69"/><Relationship Type="http://schemas.openxmlformats.org/officeDocument/2006/relationships/hyperlink" Target="https://www.barbarashawgifts.com/contact-us/" TargetMode="External" Id="rId70"/><Relationship Type="http://schemas.openxmlformats.org/officeDocument/2006/relationships/hyperlink" Target="https://www.barbarashawgifts.com/contact-us/" TargetMode="External" Id="rId71"/><Relationship Type="http://schemas.openxmlformats.org/officeDocument/2006/relationships/hyperlink" Target="mailto:stavjewelry@gmail.com" TargetMode="External" Id="rId72"/><Relationship Type="http://schemas.openxmlformats.org/officeDocument/2006/relationships/hyperlink" Target="http://www.stavjewelry.com/" TargetMode="External" Id="rId73"/><Relationship Type="http://schemas.openxmlformats.org/officeDocument/2006/relationships/hyperlink" Target="https://www.instagram.com/stav.jewelry" TargetMode="External" Id="rId74"/><Relationship Type="http://schemas.openxmlformats.org/officeDocument/2006/relationships/hyperlink" Target="https://www.facebook.com/stavjewelry" TargetMode="External" Id="rId75"/><Relationship Type="http://schemas.openxmlformats.org/officeDocument/2006/relationships/hyperlink" Target="http://www.stavjewelry.com/" TargetMode="External" Id="rId76"/><Relationship Type="http://schemas.openxmlformats.org/officeDocument/2006/relationships/hyperlink" Target="http://www.stavjewelry.com/" TargetMode="External" Id="rId7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6" customWidth="1" min="4" max="4"/>
    <col width="26" customWidth="1" min="5" max="5"/>
    <col width="17" customWidth="1" min="6" max="6"/>
    <col width="26" customWidth="1" min="7" max="7"/>
    <col width="28" customWidth="1" min="8" max="8"/>
    <col width="28" customWidth="1" min="9" max="9"/>
    <col width="28" customWidth="1" min="10" max="10"/>
    <col width="18" customWidth="1" min="11" max="11"/>
    <col width="16" customWidth="1" min="12" max="12"/>
    <col width="42" customWidth="1" min="13" max="13"/>
    <col width="48" customWidth="1" min="14" max="14"/>
    <col width="13" customWidth="1" min="15" max="15"/>
    <col width="11" customWidth="1" min="16" max="16"/>
    <col width="17" customWidth="1" min="17" max="17"/>
    <col width="24" customWidth="1" min="18" max="18"/>
    <col width="30" customWidth="1" min="19" max="19"/>
    <col width="30" customWidth="1" min="20" max="20"/>
    <col width="12" customWidth="1" min="21" max="21"/>
    <col width="14" customWidth="1" min="22" max="22"/>
    <col width="44" customWidth="1" min="23" max="23"/>
  </cols>
  <sheetData>
    <row r="1" ht="28" customHeight="1">
      <c r="A1" s="1" t="inlineStr">
        <is>
          <t>Perko - Local Business Prospects, Jerusalem (Emek Refaim &amp; Derech Beit Lehem)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20" customHeight="1">
      <c r="A2" s="3" t="inlineStr">
        <is>
          <t>Research list for the Perko early-access pilot. 20 businesses. Prospects only: none has agreed to participate. Contact details are public business details as published; blanks mean not verified.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 ht="36" customHeight="1">
      <c r="A3" s="4" t="inlineStr">
        <is>
          <t>Business Name (Hebrew)</t>
        </is>
      </c>
      <c r="B3" s="4" t="inlineStr">
        <is>
          <t>English Name</t>
        </is>
      </c>
      <c r="C3" s="4" t="inlineStr">
        <is>
          <t>Business Category</t>
        </is>
      </c>
      <c r="D3" s="4" t="inlineStr">
        <is>
          <t>Street</t>
        </is>
      </c>
      <c r="E3" s="4" t="inlineStr">
        <is>
          <t>Full Address</t>
        </is>
      </c>
      <c r="F3" s="4" t="inlineStr">
        <is>
          <t>Public Business Phone</t>
        </is>
      </c>
      <c r="G3" s="4" t="inlineStr">
        <is>
          <t>Public Business Email</t>
        </is>
      </c>
      <c r="H3" s="4" t="inlineStr">
        <is>
          <t>Official Website</t>
        </is>
      </c>
      <c r="I3" s="4" t="inlineStr">
        <is>
          <t>Instagram Profile</t>
        </is>
      </c>
      <c r="J3" s="4" t="inlineStr">
        <is>
          <t>Other Relevant Social Profile</t>
        </is>
      </c>
      <c r="K3" s="4" t="inlineStr">
        <is>
          <t>Contact Person</t>
        </is>
      </c>
      <c r="L3" s="4" t="inlineStr">
        <is>
          <t>Contact Person's Role</t>
        </is>
      </c>
      <c r="M3" s="4" t="inlineStr">
        <is>
          <t>Business Description</t>
        </is>
      </c>
      <c r="N3" s="4" t="inlineStr">
        <is>
          <t>Why This Business Fits Perko</t>
        </is>
      </c>
      <c r="O3" s="4" t="inlineStr">
        <is>
          <t>Repeat-Customer Potential</t>
        </is>
      </c>
      <c r="P3" s="4" t="inlineStr">
        <is>
          <t>Perko Fit Score (1-10)</t>
        </is>
      </c>
      <c r="Q3" s="4" t="inlineStr">
        <is>
          <t>Independence Status</t>
        </is>
      </c>
      <c r="R3" s="4" t="inlineStr">
        <is>
          <t>Best Public Contact Method</t>
        </is>
      </c>
      <c r="S3" s="4" t="inlineStr">
        <is>
          <t>Source URL - Business Details</t>
        </is>
      </c>
      <c r="T3" s="4" t="inlineStr">
        <is>
          <t>Source URL - Contact Information</t>
        </is>
      </c>
      <c r="U3" s="4" t="inlineStr">
        <is>
          <t>Date Verified</t>
        </is>
      </c>
      <c r="V3" s="4" t="inlineStr">
        <is>
          <t>Outreach Status</t>
        </is>
      </c>
      <c r="W3" s="4" t="inlineStr">
        <is>
          <t>Additional Notes</t>
        </is>
      </c>
    </row>
    <row r="4" ht="96" customHeight="1">
      <c r="A4" s="5" t="inlineStr">
        <is>
          <t>בירמה</t>
        </is>
      </c>
      <c r="B4" s="6" t="inlineStr">
        <is>
          <t>Birma Coffee</t>
        </is>
      </c>
      <c r="C4" s="6" t="inlineStr">
        <is>
          <t>Café / coffee roaster</t>
        </is>
      </c>
      <c r="D4" s="7" t="inlineStr">
        <is>
          <t>Emek Refaim</t>
        </is>
      </c>
      <c r="E4" s="6" t="inlineStr">
        <is>
          <t>20 Emek Refaim St, German Colony, Jerusalem</t>
        </is>
      </c>
      <c r="F4" s="6" t="inlineStr">
        <is>
          <t>02-544-5668</t>
        </is>
      </c>
      <c r="G4" s="6" t="n"/>
      <c r="H4" s="8" t="inlineStr">
        <is>
          <t>https://birmacoffee.com</t>
        </is>
      </c>
      <c r="I4" s="8" t="inlineStr">
        <is>
          <t>https://www.instagram.com/birmacoffee</t>
        </is>
      </c>
      <c r="J4" s="8" t="inlineStr">
        <is>
          <t>https://www.facebook.com/birmacoffee</t>
        </is>
      </c>
      <c r="K4" s="6" t="inlineStr">
        <is>
          <t>Michael Ronen; Daniel Ronen</t>
        </is>
      </c>
      <c r="L4" s="6" t="inlineStr">
        <is>
          <t>Co-founders / owners (brothers)</t>
        </is>
      </c>
      <c r="M4" s="6" t="inlineStr">
        <is>
          <t>Small specialty-coffee micro-roastery and counter café opened in 2021, with outdoor seating. Kosher.</t>
        </is>
      </c>
      <c r="N4" s="6" t="inlineStr">
        <is>
          <t>A takeaway counter with commuter regulars is the textbook stamp-card business, and a young founder-run brand is likely to try a digital card in place of paper. Its coffee-bean sales add a second repeat purchase.</t>
        </is>
      </c>
      <c r="O4" s="7" t="inlineStr">
        <is>
          <t>High</t>
        </is>
      </c>
      <c r="P4" s="7" t="n">
        <v>9</v>
      </c>
      <c r="Q4" s="6" t="inlineStr">
        <is>
          <t>verified independent</t>
        </is>
      </c>
      <c r="R4" s="6" t="inlineStr">
        <is>
          <t>Phone / WhatsApp 02-544-5668 (WhatsApp link on official site)</t>
        </is>
      </c>
      <c r="S4" s="8" t="inlineStr">
        <is>
          <t>https://birmacoffee.com</t>
        </is>
      </c>
      <c r="T4" s="8" t="inlineStr">
        <is>
          <t>https://birmacoffee.com</t>
        </is>
      </c>
      <c r="U4" s="7" t="inlineStr">
        <is>
          <t>2026-10-25</t>
        </is>
      </c>
      <c r="V4" s="7" t="inlineStr">
        <is>
          <t>Not Contacted</t>
        </is>
      </c>
      <c r="W4" s="6" t="inlineStr">
        <is>
          <t>Phone confirmed on the official site (2026-10-25). Street number 20 from rest.co.il (https://www.rest.co.il/rest/80358238/) and Debbest; the official site gives no number. Founders named on own site and in Times of Israel FR (Aug 2023). No email published.</t>
        </is>
      </c>
    </row>
    <row r="5" ht="96" customHeight="1">
      <c r="A5" s="9" t="inlineStr">
        <is>
          <t>קאלו</t>
        </is>
      </c>
      <c r="B5" s="10" t="inlineStr">
        <is>
          <t>Kalo Cafe &amp; Market</t>
        </is>
      </c>
      <c r="C5" s="10" t="inlineStr">
        <is>
          <t>Café / deli</t>
        </is>
      </c>
      <c r="D5" s="11" t="inlineStr">
        <is>
          <t>Derech Beit Lehem</t>
        </is>
      </c>
      <c r="E5" s="10" t="inlineStr">
        <is>
          <t>31 Derech Beit Lehem, Baka, Jerusalem</t>
        </is>
      </c>
      <c r="F5" s="10" t="inlineStr">
        <is>
          <t>02-673-6365</t>
        </is>
      </c>
      <c r="G5" s="12" t="inlineStr">
        <is>
          <t>kalocafe@gmail.com</t>
        </is>
      </c>
      <c r="H5" s="12" t="inlineStr">
        <is>
          <t>https://www.kalocafe.co.il/</t>
        </is>
      </c>
      <c r="I5" s="12" t="inlineStr">
        <is>
          <t>https://www.instagram.com/kalocafejerusalem</t>
        </is>
      </c>
      <c r="J5" s="12" t="inlineStr">
        <is>
          <t>https://www.facebook.com/kalocafe/</t>
        </is>
      </c>
      <c r="K5" s="10" t="n"/>
      <c r="L5" s="10" t="n"/>
      <c r="M5" s="10" t="inlineStr">
        <is>
          <t>Kosher neighbourhood café on the street since 1997/98 serving breakfasts, sandwiches, pastas and salads, plus deli and ready-made products sold online.</t>
        </is>
      </c>
      <c r="N5" s="10" t="inlineStr">
        <is>
          <t>A Baka institution with a large local base (800+ Google reviews per Wanderlog) and two purchase types, café visits and deli and ready-meal shopping. A shared card could carry its regulars to the other Derech Beit Lehem shops, and it already sells online, so it is used to digital tools.</t>
        </is>
      </c>
      <c r="O5" s="11" t="inlineStr">
        <is>
          <t>High</t>
        </is>
      </c>
      <c r="P5" s="11" t="n">
        <v>9</v>
      </c>
      <c r="Q5" s="10" t="inlineStr">
        <is>
          <t>verified independent</t>
        </is>
      </c>
      <c r="R5" s="10" t="inlineStr">
        <is>
          <t>Email kalocafe@gmail.com, or phone 02-673-6365</t>
        </is>
      </c>
      <c r="S5" s="12" t="inlineStr">
        <is>
          <t>https://he.wikipedia.org/wiki/%D7%93%D7%A8%D7%9A_%D7%91%D7%99%D7%AA_%D7%9C%D7%97%D7%9D</t>
        </is>
      </c>
      <c r="T5" s="12" t="inlineStr">
        <is>
          <t>https://www.kalocafe.co.il/contact-us/</t>
        </is>
      </c>
      <c r="U5" s="11" t="inlineStr">
        <is>
          <t>2026-10-25</t>
        </is>
      </c>
      <c r="V5" s="11" t="inlineStr">
        <is>
          <t>Not Contacted</t>
        </is>
      </c>
      <c r="W5" s="10" t="inlineStr">
        <is>
          <t>Email and phone confirmed on the official contact page (2026-10-25). Single location; company פרידה קאלו בע"מ. Owner not named publicly. Directory hours conflict, so check before visiting.</t>
        </is>
      </c>
    </row>
    <row r="6" ht="96" customHeight="1">
      <c r="A6" s="5" t="inlineStr">
        <is>
          <t>טחנת הקפה</t>
        </is>
      </c>
      <c r="B6" s="6" t="inlineStr">
        <is>
          <t>The Coffee Mill</t>
        </is>
      </c>
      <c r="C6" s="6" t="inlineStr">
        <is>
          <t>Café / coffee roaster</t>
        </is>
      </c>
      <c r="D6" s="7" t="inlineStr">
        <is>
          <t>Emek Refaim</t>
        </is>
      </c>
      <c r="E6" s="6" t="inlineStr">
        <is>
          <t>23 Emek Refaim St, German Colony, Jerusalem</t>
        </is>
      </c>
      <c r="F6" s="6" t="inlineStr">
        <is>
          <t>02-566-1665</t>
        </is>
      </c>
      <c r="G6" s="8" t="inlineStr">
        <is>
          <t>coffeemill99@gmail.com</t>
        </is>
      </c>
      <c r="H6" s="8" t="inlineStr">
        <is>
          <t>https://www.thecoffeemill.co.il/en</t>
        </is>
      </c>
      <c r="I6" s="8" t="inlineStr">
        <is>
          <t>https://www.instagram.com/thecoffeemillil</t>
        </is>
      </c>
      <c r="J6" s="8" t="inlineStr">
        <is>
          <t>https://www.facebook.com/coffeemill99</t>
        </is>
      </c>
      <c r="K6" s="6" t="inlineStr">
        <is>
          <t>Leah Breslow; Avi Katz</t>
        </is>
      </c>
      <c r="L6" s="6" t="inlineStr">
        <is>
          <t>Owners since 2016 (Leah Breslow runs day-to-day operations)</t>
        </is>
      </c>
      <c r="M6" s="6" t="inlineStr">
        <is>
          <t>Family-owned neighbourhood café that has roasted its own coffee since 1996 and sells single-origin and blended beans. Kosher.</t>
        </is>
      </c>
      <c r="N6" s="6" t="inlineStr">
        <is>
          <t>Two repeat loops in one shop: the daily coffee and the bag of beans re-bought every few weeks. Owners are named on their own site, so the first conversation can go straight to the decision-makers, and its neighbours on Emek Refaim (bakeries, florists) are natural network partners.</t>
        </is>
      </c>
      <c r="O6" s="7" t="inlineStr">
        <is>
          <t>High</t>
        </is>
      </c>
      <c r="P6" s="7" t="n">
        <v>9</v>
      </c>
      <c r="Q6" s="6" t="inlineStr">
        <is>
          <t>verified independent</t>
        </is>
      </c>
      <c r="R6" s="6" t="inlineStr">
        <is>
          <t>Email coffeemill99@gmail.com, or phone 02-566-1665</t>
        </is>
      </c>
      <c r="S6" s="8" t="inlineStr">
        <is>
          <t>https://www.thecoffeemill.co.il/en/about</t>
        </is>
      </c>
      <c r="T6" s="8" t="inlineStr">
        <is>
          <t>https://www.thecoffeemill.co.il/en/about</t>
        </is>
      </c>
      <c r="U6" s="7" t="inlineStr">
        <is>
          <t>2026-10-25</t>
        </is>
      </c>
      <c r="V6" s="7" t="inlineStr">
        <is>
          <t>Not Contacted</t>
        </is>
      </c>
      <c r="W6" s="6" t="inlineStr">
        <is>
          <t>Email and phone confirmed on the official About page (2026-10-25). Listed at no. 23 in The Jerusalem Guide German Colony feature (3 Jul 2026). Social URLs taken from the official site. Emek Refaim light-rail works may affect footfall in 2026.</t>
        </is>
      </c>
    </row>
    <row r="7" ht="96" customHeight="1">
      <c r="A7" s="9" t="inlineStr">
        <is>
          <t>קאסה לביא</t>
        </is>
      </c>
      <c r="B7" s="10" t="inlineStr">
        <is>
          <t>Casa Lavi</t>
        </is>
      </c>
      <c r="C7" s="10" t="inlineStr">
        <is>
          <t>Café / bakery</t>
        </is>
      </c>
      <c r="D7" s="11" t="inlineStr">
        <is>
          <t>Derech Beit Lehem</t>
        </is>
      </c>
      <c r="E7" s="10" t="inlineStr">
        <is>
          <t>41 Derech Beit Lehem, Baka, Jerusalem</t>
        </is>
      </c>
      <c r="F7" s="10" t="inlineStr">
        <is>
          <t>058-429-6540</t>
        </is>
      </c>
      <c r="G7" s="10" t="n"/>
      <c r="H7" s="12" t="inlineStr">
        <is>
          <t>https://casalavi.webflow.io/</t>
        </is>
      </c>
      <c r="I7" s="12" t="inlineStr">
        <is>
          <t>https://www.instagram.com/casalavicafe</t>
        </is>
      </c>
      <c r="J7" s="10" t="n"/>
      <c r="K7" s="10" t="inlineStr">
        <is>
          <t>Meital Itzhak; Alfonso Itzhak</t>
        </is>
      </c>
      <c r="L7" s="10" t="inlineStr">
        <is>
          <t>Founders / owners (per official site)</t>
        </is>
      </c>
      <c r="M7" s="10" t="inlineStr">
        <is>
          <t>Specialty coffee shop opened in 2022 that roasts its own coffee and bakes healthy pastries on site without white sugar or flour. Mostly vegan, kosher.</t>
        </is>
      </c>
      <c r="N7" s="10" t="inlineStr">
        <is>
          <t>A young, owner-run café with a health-focused crowd of regulars who come back for coffee and pastries several times a week. Its founder-led brand suits an early-access pilot.</t>
        </is>
      </c>
      <c r="O7" s="11" t="inlineStr">
        <is>
          <t>High</t>
        </is>
      </c>
      <c r="P7" s="11" t="n">
        <v>8</v>
      </c>
      <c r="Q7" s="10" t="inlineStr">
        <is>
          <t>verified independent</t>
        </is>
      </c>
      <c r="R7" s="10" t="inlineStr">
        <is>
          <t>Instagram DM @casalavicafe, or phone 058-429-6540</t>
        </is>
      </c>
      <c r="S7" s="12" t="inlineStr">
        <is>
          <t>https://casalavi.webflow.io/</t>
        </is>
      </c>
      <c r="T7" s="12" t="inlineStr">
        <is>
          <t>https://www.rest.co.il/rest/80359561/</t>
        </is>
      </c>
      <c r="U7" s="11" t="inlineStr">
        <is>
          <t>2026-10-25</t>
        </is>
      </c>
      <c r="V7" s="11" t="inlineStr">
        <is>
          <t>Not Contacted</t>
        </is>
      </c>
      <c r="W7" s="10" t="inlineStr">
        <is>
          <t>Official site (webflow) checked 2026-10-25: Instagram link present, no phone. Phones conflict across directories: rest.co.il 058-4296540, Google (via Wanderlog) 02-631-0295. Google reviews dated Dec 2025 and Jan 2026 per Wanderlog. casalavicafe.com did not load (TLS error).</t>
        </is>
      </c>
    </row>
    <row r="8" ht="96" customHeight="1">
      <c r="A8" s="5" t="inlineStr">
        <is>
          <t>פרחי העמק</t>
        </is>
      </c>
      <c r="B8" s="6" t="inlineStr">
        <is>
          <t>Emek Flowers (Pirchei HaEmek)</t>
        </is>
      </c>
      <c r="C8" s="6" t="inlineStr">
        <is>
          <t>Florist</t>
        </is>
      </c>
      <c r="D8" s="7" t="inlineStr">
        <is>
          <t>Emek Refaim</t>
        </is>
      </c>
      <c r="E8" s="6" t="inlineStr">
        <is>
          <t>43 Emek Refaim St, German Colony, Jerusalem</t>
        </is>
      </c>
      <c r="F8" s="6" t="inlineStr">
        <is>
          <t>052-404-3365</t>
        </is>
      </c>
      <c r="G8" s="6" t="n"/>
      <c r="H8" s="8" t="inlineStr">
        <is>
          <t>https://emekflowers.co.il/</t>
        </is>
      </c>
      <c r="I8" s="6" t="n"/>
      <c r="J8" s="6" t="n"/>
      <c r="K8" s="6" t="n"/>
      <c r="L8" s="6" t="n"/>
      <c r="M8" s="6" t="inlineStr">
        <is>
          <t>Flower shop and boutique in the German Colony offering bouquets and deliveries across Jerusalem.</t>
        </is>
      </c>
      <c r="N8" s="6" t="inlineStr">
        <is>
          <t>Friday flowers for Shabbat are a weekly ritual for many local households, so a 'buy 8 bouquets, get one free' card fits naturally. A florist also makes a good second stop for café customers on the same street.</t>
        </is>
      </c>
      <c r="O8" s="7" t="inlineStr">
        <is>
          <t>High</t>
        </is>
      </c>
      <c r="P8" s="7" t="n">
        <v>8</v>
      </c>
      <c r="Q8" s="6" t="inlineStr">
        <is>
          <t>appears independent</t>
        </is>
      </c>
      <c r="R8" s="6" t="inlineStr">
        <is>
          <t>Phone 052-404-3365</t>
        </is>
      </c>
      <c r="S8" s="8" t="inlineStr">
        <is>
          <t>https://emekflowers.co.il/</t>
        </is>
      </c>
      <c r="T8" s="8" t="inlineStr">
        <is>
          <t>https://emekflowers.co.il/</t>
        </is>
      </c>
      <c r="U8" s="7" t="inlineStr">
        <is>
          <t>2026-10-25</t>
        </is>
      </c>
      <c r="V8" s="7" t="inlineStr">
        <is>
          <t>Not Contacted</t>
        </is>
      </c>
      <c r="W8" s="6" t="inlineStr">
        <is>
          <t>Phone confirmed on the official site (2026-10-25); site footer ©2026 with current hours (Sun-Thu 10-19, Fri 7-16). Owner not named. A Wolt listing was seen in search results only.</t>
        </is>
      </c>
    </row>
    <row r="9" ht="96" customHeight="1">
      <c r="A9" s="9" t="inlineStr">
        <is>
          <t>המקום של איציק</t>
        </is>
      </c>
      <c r="B9" s="10" t="inlineStr">
        <is>
          <t>Itzik's Place</t>
        </is>
      </c>
      <c r="C9" s="10" t="inlineStr">
        <is>
          <t>Café</t>
        </is>
      </c>
      <c r="D9" s="11" t="inlineStr">
        <is>
          <t>Derech Beit Lehem</t>
        </is>
      </c>
      <c r="E9" s="10" t="inlineStr">
        <is>
          <t>33 Derech Beit Lehem, Baka, Jerusalem</t>
        </is>
      </c>
      <c r="F9" s="10" t="inlineStr">
        <is>
          <t>02-672-0247</t>
        </is>
      </c>
      <c r="G9" s="10" t="n"/>
      <c r="H9" s="10" t="n"/>
      <c r="I9" s="10" t="n"/>
      <c r="J9" s="12" t="inlineStr">
        <is>
          <t>https://wolt.com/he/isr/jerusalem/venue/itziks-place</t>
        </is>
      </c>
      <c r="K9" s="10" t="n"/>
      <c r="L9" s="10" t="n"/>
      <c r="M9" s="10" t="inlineStr">
        <is>
          <t>Kosher dairy neighbourhood café (breakfasts, sandwiches, salads, pasta, desserts) that grew out of a local kiosk and has run in its current form since 2003.</t>
        </is>
      </c>
      <c r="N9" s="10" t="inlineStr">
        <is>
          <t>A kiosk-turned-café lives on daily regulars from the surrounding streets, and with no website or app of its own a ready-made digital card replaces paper with zero setup. Being two doors from Kalo and the deli at no. 33 makes it a natural cluster for the pilot.</t>
        </is>
      </c>
      <c r="O9" s="11" t="inlineStr">
        <is>
          <t>High</t>
        </is>
      </c>
      <c r="P9" s="11" t="n">
        <v>8</v>
      </c>
      <c r="Q9" s="10" t="inlineStr">
        <is>
          <t>appears independent</t>
        </is>
      </c>
      <c r="R9" s="10" t="inlineStr">
        <is>
          <t>Phone 02-672-0247 or visit in person</t>
        </is>
      </c>
      <c r="S9" s="12" t="inlineStr">
        <is>
          <t>https://www.rest.co.il/rest/80214546/</t>
        </is>
      </c>
      <c r="T9" s="12" t="inlineStr">
        <is>
          <t>https://www.rest.co.il/rest/80214546/</t>
        </is>
      </c>
      <c r="U9" s="11" t="inlineStr">
        <is>
          <t>2026-10-25</t>
        </is>
      </c>
      <c r="V9" s="11" t="inlineStr">
        <is>
          <t>Not Contacted</t>
        </is>
      </c>
      <c r="W9" s="10" t="inlineStr">
        <is>
          <t>Wolt listing live (open on 25 Oct 2026). A second number, +972-54-522-2843, appears on Wolt. History from Hebrew Wikipedia's Derech Beit Lehem article. No website or published email.</t>
        </is>
      </c>
    </row>
    <row r="10" ht="96" customHeight="1">
      <c r="A10" s="5" t="inlineStr">
        <is>
          <t>ציגה – הגלידה של ציגה</t>
        </is>
      </c>
      <c r="B10" s="6" t="inlineStr">
        <is>
          <t>Tziga Ice Cream</t>
        </is>
      </c>
      <c r="C10" s="6" t="inlineStr">
        <is>
          <t>Ice cream / gelato</t>
        </is>
      </c>
      <c r="D10" s="7" t="inlineStr">
        <is>
          <t>Derech Beit Lehem</t>
        </is>
      </c>
      <c r="E10" s="6" t="inlineStr">
        <is>
          <t>31 Derech Beit Lehem, Baka, Jerusalem</t>
        </is>
      </c>
      <c r="F10" s="6" t="inlineStr">
        <is>
          <t>02-502-8374</t>
        </is>
      </c>
      <c r="G10" s="6" t="n"/>
      <c r="H10" s="8" t="inlineStr">
        <is>
          <t>https://tziga.co.il/</t>
        </is>
      </c>
      <c r="I10" s="6" t="n"/>
      <c r="J10" s="8" t="inlineStr">
        <is>
          <t>https://wolt.com/he/isr/jerusalem/restaurant/tziga-ice-cream</t>
        </is>
      </c>
      <c r="K10" s="6" t="n"/>
      <c r="L10" s="6" t="n"/>
      <c r="M10" s="6" t="inlineStr">
        <is>
          <t>Small family-run kosher gelateria making artisanal Italian-style gelato and sorbets, with many vegan flavours.</t>
        </is>
      </c>
      <c r="N10" s="6" t="inlineStr">
        <is>
          <t>Ice cream is an impulse treat bought by the same local families week after week, which makes 'every 8th scoop free' an easy offer. It shares a building with Kalo, so a customer could pick up stamps at both on one outing.</t>
        </is>
      </c>
      <c r="O10" s="7" t="inlineStr">
        <is>
          <t>High</t>
        </is>
      </c>
      <c r="P10" s="7" t="n">
        <v>8</v>
      </c>
      <c r="Q10" s="6" t="inlineStr">
        <is>
          <t>appears independent</t>
        </is>
      </c>
      <c r="R10" s="6" t="inlineStr">
        <is>
          <t>Phone 02-502-8374</t>
        </is>
      </c>
      <c r="S10" s="8" t="inlineStr">
        <is>
          <t>https://tziga.co.il/</t>
        </is>
      </c>
      <c r="T10" s="8" t="inlineStr">
        <is>
          <t>https://tziga.co.il/</t>
        </is>
      </c>
      <c r="U10" s="7" t="inlineStr">
        <is>
          <t>2026-10-25</t>
        </is>
      </c>
      <c r="V10" s="7" t="inlineStr">
        <is>
          <t>Not Contacted</t>
        </is>
      </c>
      <c r="W10" s="6" t="inlineStr">
        <is>
          <t>Phone confirmed on the official site (2026-10-25). Live on Wolt. One search snippet mentioned further branches (HaNasi St, Herzl Blvd), but neither the official site nor a Mako article lists them, so independence is not fully confirmed. Seasonal demand (summer peak).</t>
        </is>
      </c>
    </row>
    <row r="11" ht="96" customHeight="1">
      <c r="A11" s="9" t="inlineStr">
        <is>
          <t>ברזאולה</t>
        </is>
      </c>
      <c r="B11" s="10" t="inlineStr">
        <is>
          <t>Bresaola</t>
        </is>
      </c>
      <c r="C11" s="10" t="inlineStr">
        <is>
          <t>Deli / tapas bar</t>
        </is>
      </c>
      <c r="D11" s="11" t="inlineStr">
        <is>
          <t>Derech Beit Lehem</t>
        </is>
      </c>
      <c r="E11" s="10" t="inlineStr">
        <is>
          <t>27 Derech Beit Lehem, Baka, Jerusalem</t>
        </is>
      </c>
      <c r="F11" s="10" t="inlineStr">
        <is>
          <t>02-673-5522</t>
        </is>
      </c>
      <c r="G11" s="10" t="n"/>
      <c r="H11" s="10" t="n"/>
      <c r="I11" s="10" t="n"/>
      <c r="J11" s="12" t="inlineStr">
        <is>
          <t>https://www.facebook.com/bresaola.jlm/</t>
        </is>
      </c>
      <c r="K11" s="10" t="n"/>
      <c r="L11" s="10" t="n"/>
      <c r="M11" s="10" t="inlineStr">
        <is>
          <t>Kosher deli-bar making handmade Italian-style sausages and charcuterie, with tapas and hot sandwiches.</t>
        </is>
      </c>
      <c r="N11" s="10" t="inlineStr">
        <is>
          <t>A take-home charcuterie counter that also serves a sit-down bar is visited both for weekly shopping and for evenings out. Its very high rating suggests loyal fans whose visits a reward could make more frequent.</t>
        </is>
      </c>
      <c r="O11" s="11" t="inlineStr">
        <is>
          <t>Medium</t>
        </is>
      </c>
      <c r="P11" s="11" t="n">
        <v>7</v>
      </c>
      <c r="Q11" s="10" t="inlineStr">
        <is>
          <t>appears independent</t>
        </is>
      </c>
      <c r="R11" s="10" t="inlineStr">
        <is>
          <t>Phone 02-673-5522</t>
        </is>
      </c>
      <c r="S11" s="12" t="inlineStr">
        <is>
          <t>https://wolt.com/he/isr/jerusalem/restaurant/bresaola</t>
        </is>
      </c>
      <c r="T11" s="12" t="inlineStr">
        <is>
          <t>https://www.d.co.il/80361096/30455/</t>
        </is>
      </c>
      <c r="U11" s="11" t="inlineStr">
        <is>
          <t>2026-10-25</t>
        </is>
      </c>
      <c r="V11" s="11" t="inlineStr">
        <is>
          <t>Not Contacted</t>
        </is>
      </c>
      <c r="W11" s="10" t="inlineStr">
        <is>
          <t>Live on Wolt (rating 9.2; open 25 Oct 2026). The Facebook page is the 'website' listed on Wolt. An Instagram handle @bresaola.jlm was seen only in search results, so it is not included. The domain bresaola-jerusalem.com did not resolve.</t>
        </is>
      </c>
    </row>
    <row r="12" ht="96" customHeight="1">
      <c r="A12" s="5" t="inlineStr">
        <is>
          <t>הפרחים של ארז</t>
        </is>
      </c>
      <c r="B12" s="6" t="inlineStr">
        <is>
          <t>Erez Flowers (EreZer)</t>
        </is>
      </c>
      <c r="C12" s="6" t="inlineStr">
        <is>
          <t>Florist</t>
        </is>
      </c>
      <c r="D12" s="7" t="inlineStr">
        <is>
          <t>Emek Refaim</t>
        </is>
      </c>
      <c r="E12" s="6" t="inlineStr">
        <is>
          <t>26 Emek Refaim St, German Colony, Jerusalem</t>
        </is>
      </c>
      <c r="F12" s="6" t="inlineStr">
        <is>
          <t>02-533-6363</t>
        </is>
      </c>
      <c r="G12" s="8" t="inlineStr">
        <is>
          <t>erezprachim@gmail.com</t>
        </is>
      </c>
      <c r="H12" s="8" t="inlineStr">
        <is>
          <t>https://erez-flowers.co.il/</t>
        </is>
      </c>
      <c r="I12" s="6" t="n"/>
      <c r="J12" s="8" t="inlineStr">
        <is>
          <t>https://wolt.com/en/isr/jerusalem/venue/erezer-emek-refaim</t>
        </is>
      </c>
      <c r="K12" s="6" t="n"/>
      <c r="L12" s="6" t="n"/>
      <c r="M12" s="6" t="inlineStr">
        <is>
          <t>Flower and gift shop offering arrangements with same-day delivery across Jerusalem.</t>
        </is>
      </c>
      <c r="N12" s="6" t="inlineStr">
        <is>
          <t>A flower shop where both walk-in Shabbat buyers and delivery customers buy again and again. With email published, it is one of the easiest prospects to reach in writing.</t>
        </is>
      </c>
      <c r="O12" s="7" t="inlineStr">
        <is>
          <t>High</t>
        </is>
      </c>
      <c r="P12" s="7" t="n">
        <v>7</v>
      </c>
      <c r="Q12" s="6" t="inlineStr">
        <is>
          <t>appears independent</t>
        </is>
      </c>
      <c r="R12" s="6" t="inlineStr">
        <is>
          <t>Email erezprachim@gmail.com, or phone 02-533-6363</t>
        </is>
      </c>
      <c r="S12" s="8" t="inlineStr">
        <is>
          <t>https://erez-flowers.co.il/store/</t>
        </is>
      </c>
      <c r="T12" s="8" t="inlineStr">
        <is>
          <t>https://erez-flowers.co.il/</t>
        </is>
      </c>
      <c r="U12" s="7" t="inlineStr">
        <is>
          <t>2026-10-25</t>
        </is>
      </c>
      <c r="V12" s="7" t="inlineStr">
        <is>
          <t>Not Contacted</t>
        </is>
      </c>
      <c r="W12" s="6" t="inlineStr">
        <is>
          <t>Email and phone confirmed on the official site (2026-10-25). The Wolt URL suffix '-emek-refaim' might hint at other branches, but none was found. Two florists on Emek Refaim (with Emek Flowers) may compete, so pitch them separately.</t>
        </is>
      </c>
    </row>
    <row r="13" ht="96" customHeight="1">
      <c r="A13" s="9" t="inlineStr">
        <is>
          <t>פלורה – חנות פרחים</t>
        </is>
      </c>
      <c r="B13" s="10" t="inlineStr">
        <is>
          <t>Flora Flower Shop</t>
        </is>
      </c>
      <c r="C13" s="10" t="inlineStr">
        <is>
          <t>Florist</t>
        </is>
      </c>
      <c r="D13" s="11" t="inlineStr">
        <is>
          <t>Derech Beit Lehem</t>
        </is>
      </c>
      <c r="E13" s="10" t="inlineStr">
        <is>
          <t>29 Derech Beit Lehem, Baka, Jerusalem</t>
        </is>
      </c>
      <c r="F13" s="10" t="inlineStr">
        <is>
          <t>073-375-3310</t>
        </is>
      </c>
      <c r="G13" s="12" t="inlineStr">
        <is>
          <t>info@floraflower.co.il</t>
        </is>
      </c>
      <c r="H13" s="12" t="inlineStr">
        <is>
          <t>https://www.floraflower.co.il/</t>
        </is>
      </c>
      <c r="I13" s="10" t="n"/>
      <c r="J13" s="10" t="n"/>
      <c r="K13" s="10" t="n"/>
      <c r="L13" s="10" t="n"/>
      <c r="M13" s="10" t="inlineStr">
        <is>
          <t>Florist selling bouquets, plants, event arrangements and gift bundles, with Jerusalem-wide delivery and free pickup in store.</t>
        </is>
      </c>
      <c r="N13" s="10" t="inlineStr">
        <is>
          <t>Weekly Shabbat flowers plus holiday spikes (Sukkot, Rosh Hashana, Mother's Day) suit a stamp card well. It is a few doors from Kalo and Tziga, so customers can collect at several stops on one walk.</t>
        </is>
      </c>
      <c r="O13" s="11" t="inlineStr">
        <is>
          <t>High</t>
        </is>
      </c>
      <c r="P13" s="11" t="n">
        <v>7</v>
      </c>
      <c r="Q13" s="10" t="inlineStr">
        <is>
          <t>appears independent</t>
        </is>
      </c>
      <c r="R13" s="10" t="inlineStr">
        <is>
          <t>Email info@floraflower.co.il</t>
        </is>
      </c>
      <c r="S13" s="12" t="inlineStr">
        <is>
          <t>https://www.floraflower.co.il/</t>
        </is>
      </c>
      <c r="T13" s="12" t="inlineStr">
        <is>
          <t>https://www.floraflower.co.il/</t>
        </is>
      </c>
      <c r="U13" s="11" t="inlineStr">
        <is>
          <t>2026-10-25</t>
        </is>
      </c>
      <c r="V13" s="11" t="inlineStr">
        <is>
          <t>Not Contacted</t>
        </is>
      </c>
      <c r="W13" s="10" t="inlineStr">
        <is>
          <t>Email and phone confirmed on the official site (2026-10-25); Sukkot 2026 promotions live. Directories show other numbers (d.co.il 077-3164751), so use the official one.</t>
        </is>
      </c>
    </row>
    <row r="14" ht="96" customHeight="1">
      <c r="A14" s="5" t="inlineStr">
        <is>
          <t>גראנד קפה</t>
        </is>
      </c>
      <c r="B14" s="6" t="inlineStr">
        <is>
          <t>Grand Cafe</t>
        </is>
      </c>
      <c r="C14" s="6" t="inlineStr">
        <is>
          <t>Café / restaurant</t>
        </is>
      </c>
      <c r="D14" s="7" t="inlineStr">
        <is>
          <t>Derech Beit Lehem</t>
        </is>
      </c>
      <c r="E14" s="6" t="inlineStr">
        <is>
          <t>70 Derech Beit Lehem, Baka, Jerusalem</t>
        </is>
      </c>
      <c r="F14" s="6" t="inlineStr">
        <is>
          <t>02-570-2702</t>
        </is>
      </c>
      <c r="G14" s="6" t="n"/>
      <c r="H14" s="8" t="inlineStr">
        <is>
          <t>https://www.grand-cafe.co.il/</t>
        </is>
      </c>
      <c r="I14" s="8" t="inlineStr">
        <is>
          <t>https://www.instagram.com/grand.cafe_/</t>
        </is>
      </c>
      <c r="J14" s="8" t="inlineStr">
        <is>
          <t>https://www.facebook.com/grandcafe70</t>
        </is>
      </c>
      <c r="K14" s="6" t="inlineStr">
        <is>
          <t>Adi Talmor; Sarah Talmor</t>
        </is>
      </c>
      <c r="L14" s="6" t="inlineStr">
        <is>
          <t>Co-founder (business side); café manager (per The Jewish Link, Dec 2025)</t>
        </is>
      </c>
      <c r="M14" s="6" t="inlineStr">
        <is>
          <t>European-style kosher dairy café-restaurant opened in 2011, known for brunch and pastries.</t>
        </is>
      </c>
      <c r="N14" s="6" t="inlineStr">
        <is>
          <t>A popular brunch spot with neighbourhood regulars, where a reward such as a free pastry could move weekend-only diners to weekday visits. Its scale makes it an anchor partner that lends the network credibility.</t>
        </is>
      </c>
      <c r="O14" s="7" t="inlineStr">
        <is>
          <t>Medium</t>
        </is>
      </c>
      <c r="P14" s="7" t="n">
        <v>7</v>
      </c>
      <c r="Q14" s="6" t="inlineStr">
        <is>
          <t>verified independent</t>
        </is>
      </c>
      <c r="R14" s="6" t="inlineStr">
        <is>
          <t>Phone 02-570-2702 or WhatsApp +972-52-667-4624 (both on official site)</t>
        </is>
      </c>
      <c r="S14" s="8" t="inlineStr">
        <is>
          <t>https://jewishlink.news/a-jerusalem-restaurant-to-remember-in-baka-the-grand-cafe/</t>
        </is>
      </c>
      <c r="T14" s="8" t="inlineStr">
        <is>
          <t>https://www.grand-cafe.co.il/</t>
        </is>
      </c>
      <c r="U14" s="7" t="inlineStr">
        <is>
          <t>2026-10-25</t>
        </is>
      </c>
      <c r="V14" s="7" t="inlineStr">
        <is>
          <t>Not Contacted</t>
        </is>
      </c>
      <c r="W14" s="6" t="inlineStr">
        <is>
          <t>Phone, WhatsApp and Instagram confirmed on the official site (2026-10-25). Live on Wolt. No email published (events contact form only).</t>
        </is>
      </c>
    </row>
    <row r="15" ht="96" customHeight="1">
      <c r="A15" s="9" t="inlineStr">
        <is>
          <t>לה שרולה</t>
        </is>
      </c>
      <c r="B15" s="10" t="inlineStr">
        <is>
          <t>Le Charolais Deli &amp; Butcher</t>
        </is>
      </c>
      <c r="C15" s="10" t="inlineStr">
        <is>
          <t>Butcher / deli</t>
        </is>
      </c>
      <c r="D15" s="11" t="inlineStr">
        <is>
          <t>Derech Beit Lehem</t>
        </is>
      </c>
      <c r="E15" s="10" t="inlineStr">
        <is>
          <t>84 Derech Beit Lehem, Baka, Jerusalem</t>
        </is>
      </c>
      <c r="F15" s="10" t="inlineStr">
        <is>
          <t>050-579-1350</t>
        </is>
      </c>
      <c r="G15" s="10" t="n"/>
      <c r="H15" s="12" t="inlineStr">
        <is>
          <t>https://lecharolais.co.il/</t>
        </is>
      </c>
      <c r="I15" s="10" t="n"/>
      <c r="J15" s="12" t="inlineStr">
        <is>
          <t>https://www.facebook.com/lecharolaisjerusalem/</t>
        </is>
      </c>
      <c r="K15" s="10" t="n"/>
      <c r="L15" s="10" t="n"/>
      <c r="M15" s="10" t="inlineStr">
        <is>
          <t>Kosher boutique butcher and deli; it will grill a cut to order on site and also sells poultry, prepared foods and weekend French pastries.</t>
        </is>
      </c>
      <c r="N15" s="10" t="inlineStr">
        <is>
          <t>Households buy meat for Shabbat every week, and high-value baskets justify a meaningful reward. It is also a different kind of shop from the cafés, which widens what the shared network offers.</t>
        </is>
      </c>
      <c r="O15" s="11" t="inlineStr">
        <is>
          <t>High</t>
        </is>
      </c>
      <c r="P15" s="11" t="n">
        <v>7</v>
      </c>
      <c r="Q15" s="10" t="inlineStr">
        <is>
          <t>appears independent</t>
        </is>
      </c>
      <c r="R15" s="10" t="inlineStr">
        <is>
          <t>Phone / WhatsApp 050-579-1350 (official site)</t>
        </is>
      </c>
      <c r="S15" s="12" t="inlineStr">
        <is>
          <t>https://lecharolais.co.il/</t>
        </is>
      </c>
      <c r="T15" s="12" t="inlineStr">
        <is>
          <t>https://lecharolais.co.il/</t>
        </is>
      </c>
      <c r="U15" s="11" t="inlineStr">
        <is>
          <t>2026-10-25</t>
        </is>
      </c>
      <c r="V15" s="11" t="inlineStr">
        <is>
          <t>Not Contacted</t>
        </is>
      </c>
      <c r="W15" s="10" t="inlineStr">
        <is>
          <t>Phone confirmed on the official site (2026-10-25). Wolt lists 02-6444966. A Mazav article (Jun 2021) names three Jerusalem restaurateurs as owners who also run other restaurants: a single shop, but not a lone owner. Names left out because the source is from 2021.</t>
        </is>
      </c>
    </row>
    <row r="16" ht="96" customHeight="1">
      <c r="A16" s="5" t="inlineStr">
        <is>
          <t>לחם ועוד</t>
        </is>
      </c>
      <c r="B16" s="6" t="inlineStr">
        <is>
          <t>Lechem V'od (Bread and More)</t>
        </is>
      </c>
      <c r="C16" s="6" t="inlineStr">
        <is>
          <t>Bakery / café</t>
        </is>
      </c>
      <c r="D16" s="7" t="inlineStr">
        <is>
          <t>Emek Refaim</t>
        </is>
      </c>
      <c r="E16" s="6" t="inlineStr">
        <is>
          <t>35 Emek Refaim St, German Colony, Jerusalem</t>
        </is>
      </c>
      <c r="F16" s="6" t="inlineStr">
        <is>
          <t>02-624-4255</t>
        </is>
      </c>
      <c r="G16" s="6" t="n"/>
      <c r="H16" s="6" t="n"/>
      <c r="I16" s="6" t="n"/>
      <c r="J16" s="6" t="n"/>
      <c r="K16" s="6" t="n"/>
      <c r="L16" s="6" t="n"/>
      <c r="M16" s="6" t="inlineStr">
        <is>
          <t>Gourmet kosher (mehadrin) bakery-café and deli selling artisan bread, cheesecake, macarons and imported cheeses, with an outdoor patio.</t>
        </is>
      </c>
      <c r="N16" s="6" t="inlineStr">
        <is>
          <t>Daily bread and weekly Shabbat baking make bakeries the strongest repeat-purchase category. Its deli counter adds bigger baskets, which justify a richer reward.</t>
        </is>
      </c>
      <c r="O16" s="7" t="inlineStr">
        <is>
          <t>High</t>
        </is>
      </c>
      <c r="P16" s="7" t="n">
        <v>7</v>
      </c>
      <c r="Q16" s="6" t="inlineStr">
        <is>
          <t>appears independent</t>
        </is>
      </c>
      <c r="R16" s="6" t="inlineStr">
        <is>
          <t>Phone 02-624-4255 or visit in person</t>
        </is>
      </c>
      <c r="S16" s="8" t="inlineStr">
        <is>
          <t>https://www.rest.co.il/rest/80209734/</t>
        </is>
      </c>
      <c r="T16" s="8" t="inlineStr">
        <is>
          <t>https://www.rest.co.il/rest/80209734/</t>
        </is>
      </c>
      <c r="U16" s="7" t="inlineStr">
        <is>
          <t>2026-10-25</t>
        </is>
      </c>
      <c r="V16" s="7" t="inlineStr">
        <is>
          <t>Not Contacted</t>
        </is>
      </c>
      <c r="W16" s="6" t="inlineStr">
        <is>
          <t>Score reduced because current operation is not firmly verified: rest.co.il updated Feb 2026 and listed in iTravelJerusalem, but no dated 2026 review was found. Confirm it is open before outreach. Shares no. 35 with Focaccia Moshava.</t>
        </is>
      </c>
    </row>
    <row r="17" ht="96" customHeight="1">
      <c r="A17" s="9" t="inlineStr">
        <is>
          <t>בוכמן'ס דיינר</t>
        </is>
      </c>
      <c r="B17" s="10" t="inlineStr">
        <is>
          <t>Buchman's Diner</t>
        </is>
      </c>
      <c r="C17" s="10" t="inlineStr">
        <is>
          <t>Casual restaurant</t>
        </is>
      </c>
      <c r="D17" s="11" t="inlineStr">
        <is>
          <t>Emek Refaim</t>
        </is>
      </c>
      <c r="E17" s="10" t="inlineStr">
        <is>
          <t>51 Emek Refaim St, German Colony, Jerusalem</t>
        </is>
      </c>
      <c r="F17" s="10" t="inlineStr">
        <is>
          <t>073-730-9889</t>
        </is>
      </c>
      <c r="G17" s="10" t="n"/>
      <c r="H17" s="10" t="n"/>
      <c r="I17" s="10" t="n"/>
      <c r="J17" s="12" t="inlineStr">
        <is>
          <t>https://wolt.com/en/isr/jerusalem/restaurant/buchmans-diner</t>
        </is>
      </c>
      <c r="K17" s="10" t="inlineStr">
        <is>
          <t>Lior Sivan; Matan Sivan</t>
        </is>
      </c>
      <c r="L17" s="10" t="inlineStr">
        <is>
          <t>Owners (twin brothers), per The Jerusalem Post, Nov 2024</t>
        </is>
      </c>
      <c r="M17" s="10" t="inlineStr">
        <is>
          <t>American-style kosher dairy diner serving burgers, pancakes, calzones and milkshakes.</t>
        </is>
      </c>
      <c r="N17" s="10" t="inlineStr">
        <is>
          <t>Families and teenagers come back for casual meals, so a 'free milkshake on the 6th visit' card is easy to explain. Owner-operators are named, and they run two other local pizza places, so a successful pilot could later spread across their venues.</t>
        </is>
      </c>
      <c r="O17" s="11" t="inlineStr">
        <is>
          <t>Medium</t>
        </is>
      </c>
      <c r="P17" s="11" t="n">
        <v>6</v>
      </c>
      <c r="Q17" s="10" t="inlineStr">
        <is>
          <t>appears independent</t>
        </is>
      </c>
      <c r="R17" s="10" t="inlineStr">
        <is>
          <t>Phone 073-730-9889</t>
        </is>
      </c>
      <c r="S17" s="12" t="inlineStr">
        <is>
          <t>https://jpost.com/food-recipes/article-829474</t>
        </is>
      </c>
      <c r="T17" s="12" t="inlineStr">
        <is>
          <t>https://jpost.com/food-recipes/article-829474</t>
        </is>
      </c>
      <c r="U17" s="11" t="inlineStr">
        <is>
          <t>2026-10-25</t>
        </is>
      </c>
      <c r="V17" s="11" t="inlineStr">
        <is>
          <t>Not Contacted</t>
        </is>
      </c>
      <c r="W17" s="10" t="inlineStr">
        <is>
          <t>Small local family group (also runs two Buchman pizza places), not a chain. Wolt listing seen in search results. Kashrut wording differs between sources. No 2026-dated evidence found.</t>
        </is>
      </c>
    </row>
    <row r="18" ht="96" customHeight="1">
      <c r="A18" s="5" t="inlineStr">
        <is>
          <t>קומקום – בית תה</t>
        </is>
      </c>
      <c r="B18" s="6" t="inlineStr">
        <is>
          <t>Kumkum Tea House</t>
        </is>
      </c>
      <c r="C18" s="6" t="inlineStr">
        <is>
          <t>Tea house / café</t>
        </is>
      </c>
      <c r="D18" s="7" t="inlineStr">
        <is>
          <t>Derech Beit Lehem</t>
        </is>
      </c>
      <c r="E18" s="6" t="inlineStr">
        <is>
          <t>23 Derech Beit Lehem, Baka, Jerusalem</t>
        </is>
      </c>
      <c r="F18" s="6" t="inlineStr">
        <is>
          <t>050-656-3334</t>
        </is>
      </c>
      <c r="G18" s="6" t="n"/>
      <c r="H18" s="8" t="inlineStr">
        <is>
          <t>https://kumkumteahouse.com/</t>
        </is>
      </c>
      <c r="I18" s="8" t="inlineStr">
        <is>
          <t>https://www.instagram.com/kumkum.tea.house</t>
        </is>
      </c>
      <c r="J18" s="6" t="n"/>
      <c r="K18" s="6" t="inlineStr">
        <is>
          <t>Elisheva Levy</t>
        </is>
      </c>
      <c r="L18" s="6" t="inlineStr">
        <is>
          <t>Owner (per Times of Israel, 16 Aug 2026)</t>
        </is>
      </c>
      <c r="M18" s="6" t="inlineStr">
        <is>
          <t>Kosher British-style tea room serving afternoon tea, homemade scones and loose-leaf teas in a garden, with a small teaware and gift shop.</t>
        </is>
      </c>
      <c r="N18" s="6" t="inlineStr">
        <is>
          <t>An owner-run, community-minded venue whose reward could be a free pot of tea or scones. The retail corner (loose-leaf tea refills) adds a repeat purchase, and the owner was profiled in Aug 2026, so she is active and reachable.</t>
        </is>
      </c>
      <c r="O18" s="7" t="inlineStr">
        <is>
          <t>Medium</t>
        </is>
      </c>
      <c r="P18" s="7" t="n">
        <v>6</v>
      </c>
      <c r="Q18" s="6" t="inlineStr">
        <is>
          <t>verified independent</t>
        </is>
      </c>
      <c r="R18" s="6" t="inlineStr">
        <is>
          <t>Phone / WhatsApp 050-656-3334</t>
        </is>
      </c>
      <c r="S18" s="8" t="inlineStr">
        <is>
          <t>https://www.timesofisrael.com/elisheva-levy-jerusalems-fairy-godmother/</t>
        </is>
      </c>
      <c r="T18" s="8" t="inlineStr">
        <is>
          <t>https://kumkumteahouse.com/</t>
        </is>
      </c>
      <c r="U18" s="7" t="inlineStr">
        <is>
          <t>2026-10-25</t>
        </is>
      </c>
      <c r="V18" s="7" t="inlineStr">
        <is>
          <t>Not Contacted</t>
        </is>
      </c>
      <c r="W18" s="6" t="inlineStr">
        <is>
          <t>Phone and Instagram confirmed on the official site after rendering it (2026-10-25). Afternoon tea is more of an occasion than a daily visit. Hebrew Wikipedia names a different owner; the 2026 Times of Israel article was used instead. GoKosher lists another phone, 077-5373226.</t>
        </is>
      </c>
    </row>
    <row r="19" ht="96" customHeight="1">
      <c r="A19" s="9" t="inlineStr">
        <is>
          <t>פוקצ'ה בר הכשרה במושבה</t>
        </is>
      </c>
      <c r="B19" s="10" t="inlineStr">
        <is>
          <t>Focaccia Moshava</t>
        </is>
      </c>
      <c r="C19" s="10" t="inlineStr">
        <is>
          <t>Restaurant / bakery</t>
        </is>
      </c>
      <c r="D19" s="11" t="inlineStr">
        <is>
          <t>Emek Refaim</t>
        </is>
      </c>
      <c r="E19" s="10" t="inlineStr">
        <is>
          <t>35 Emek Refaim St, German Colony, Jerusalem</t>
        </is>
      </c>
      <c r="F19" s="10" t="inlineStr">
        <is>
          <t>02-538-7182</t>
        </is>
      </c>
      <c r="G19" s="10" t="n"/>
      <c r="H19" s="10" t="n"/>
      <c r="I19" s="10" t="n"/>
      <c r="J19" s="10" t="n"/>
      <c r="K19" s="10" t="n"/>
      <c r="L19" s="10" t="n"/>
      <c r="M19" s="10" t="inlineStr">
        <is>
          <t>Kosher Italian restaurant baking focaccia in a taboon oven, with a Friday pre-Shabbat focaccia market.</t>
        </is>
      </c>
      <c r="N19" s="10" t="inlineStr">
        <is>
          <t>The Friday focaccia market is a weekly pickup routine and a ready-made reason to reward repeat visits. Its corner-of-the-street visibility would also help the network.</t>
        </is>
      </c>
      <c r="O19" s="11" t="inlineStr">
        <is>
          <t>Medium</t>
        </is>
      </c>
      <c r="P19" s="11" t="n">
        <v>5</v>
      </c>
      <c r="Q19" s="10" t="inlineStr">
        <is>
          <t>uncertain</t>
        </is>
      </c>
      <c r="R19" s="10" t="inlineStr">
        <is>
          <t>Phone 02-538-7182</t>
        </is>
      </c>
      <c r="S19" s="12" t="inlineStr">
        <is>
          <t>https://www.itraveljerusalem.com/rst/focaccia-moshava/</t>
        </is>
      </c>
      <c r="T19" s="12" t="inlineStr">
        <is>
          <t>https://www.rest.co.il/restaurants/jerusalem/emek-refaim/</t>
        </is>
      </c>
      <c r="U19" s="11" t="inlineStr">
        <is>
          <t>2026-10-25</t>
        </is>
      </c>
      <c r="V19" s="11" t="inlineStr">
        <is>
          <t>Not Contacted</t>
        </is>
      </c>
      <c r="W19" s="10" t="inlineStr">
        <is>
          <t>Kosher sibling of the downtown Focaccia Bar (Rabbi Akiva St): a local two-location brand, not a single independent shop. Listed in The Jerusalem Guide (3 Jul 2026). A website (m.focaccia.co) appears on iTravelJerusalem but was not verified, so it is left blank.</t>
        </is>
      </c>
    </row>
    <row r="20" ht="96" customHeight="1">
      <c r="A20" s="5" t="inlineStr">
        <is>
          <t>פומפידו</t>
        </is>
      </c>
      <c r="B20" s="6" t="inlineStr">
        <is>
          <t>Pompidou Bistro &amp; Bar</t>
        </is>
      </c>
      <c r="C20" s="6" t="inlineStr">
        <is>
          <t>Restaurant / bar</t>
        </is>
      </c>
      <c r="D20" s="7" t="inlineStr">
        <is>
          <t>Emek Refaim</t>
        </is>
      </c>
      <c r="E20" s="6" t="inlineStr">
        <is>
          <t>27 Emek Refaim St, German Colony, Jerusalem</t>
        </is>
      </c>
      <c r="F20" s="6" t="inlineStr">
        <is>
          <t>02-625-1111</t>
        </is>
      </c>
      <c r="G20" s="6" t="n"/>
      <c r="H20" s="6" t="n"/>
      <c r="I20" s="6" t="n"/>
      <c r="J20" s="6" t="n"/>
      <c r="K20" s="6" t="n"/>
      <c r="L20" s="6" t="n"/>
      <c r="M20" s="6" t="inlineStr">
        <is>
          <t>Italian-leaning kosher dairy bistro and cocktail bar with balconies over Emek Refaim.</t>
        </is>
      </c>
      <c r="N20" s="6" t="inlineStr">
        <is>
          <t>Evening and date-night visits come less often, but a shared network could send café customers to it at night, and a reward such as a free dessert can win back lapsed diners.</t>
        </is>
      </c>
      <c r="O20" s="7" t="inlineStr">
        <is>
          <t>Medium</t>
        </is>
      </c>
      <c r="P20" s="7" t="n">
        <v>5</v>
      </c>
      <c r="Q20" s="6" t="inlineStr">
        <is>
          <t>appears independent</t>
        </is>
      </c>
      <c r="R20" s="6" t="inlineStr">
        <is>
          <t>Phone 02-625-1111</t>
        </is>
      </c>
      <c r="S20" s="8" t="inlineStr">
        <is>
          <t>https://www.rest.co.il/rest/80164067/</t>
        </is>
      </c>
      <c r="T20" s="8" t="inlineStr">
        <is>
          <t>https://www.rest.co.il/rest/80164067/</t>
        </is>
      </c>
      <c r="U20" s="7" t="inlineStr">
        <is>
          <t>2026-10-25</t>
        </is>
      </c>
      <c r="V20" s="7" t="inlineStr">
        <is>
          <t>Not Contacted</t>
        </is>
      </c>
      <c r="W20" s="6" t="inlineStr">
        <is>
          <t>Listed in The Jerusalem Guide German Colony feature (3 Jul 2026). No official site or social profile found. The latest rest.co.il review is from 2023.</t>
        </is>
      </c>
    </row>
    <row r="21" ht="96" customHeight="1">
      <c r="A21" s="9" t="inlineStr">
        <is>
          <t>רנדבו</t>
        </is>
      </c>
      <c r="B21" s="10" t="inlineStr">
        <is>
          <t>Rendez-Vous</t>
        </is>
      </c>
      <c r="C21" s="10" t="inlineStr">
        <is>
          <t>Casual restaurant</t>
        </is>
      </c>
      <c r="D21" s="11" t="inlineStr">
        <is>
          <t>Derech Beit Lehem</t>
        </is>
      </c>
      <c r="E21" s="10" t="inlineStr">
        <is>
          <t>110 Derech Beit Lehem, Jerusalem</t>
        </is>
      </c>
      <c r="F21" s="10" t="inlineStr">
        <is>
          <t>074-726-8306</t>
        </is>
      </c>
      <c r="G21" s="10" t="n"/>
      <c r="H21" s="10" t="n"/>
      <c r="I21" s="10" t="n"/>
      <c r="J21" s="10" t="n"/>
      <c r="K21" s="10" t="n"/>
      <c r="L21" s="10" t="n"/>
      <c r="M21" s="10" t="inlineStr">
        <is>
          <t>Kosher-mehadrin restaurant serving pizza, pasta and pastries.</t>
        </is>
      </c>
      <c r="N21" s="10" t="inlineStr">
        <is>
          <t>Pizza and pasta are frequent family takeaway orders that suit a simple stamp card. It sits at the southern (Talpiot) end of the street, so it would extend the network beyond central Baka.</t>
        </is>
      </c>
      <c r="O21" s="11" t="inlineStr">
        <is>
          <t>Medium</t>
        </is>
      </c>
      <c r="P21" s="11" t="n">
        <v>5</v>
      </c>
      <c r="Q21" s="10" t="inlineStr">
        <is>
          <t>appears independent</t>
        </is>
      </c>
      <c r="R21" s="10" t="inlineStr">
        <is>
          <t>Phone 074-726-8306</t>
        </is>
      </c>
      <c r="S21" s="12" t="inlineStr">
        <is>
          <t>https://www.rest.co.il/rest/80195583/</t>
        </is>
      </c>
      <c r="T21" s="12" t="inlineStr">
        <is>
          <t>https://www.rest.co.il/rest/80195583/</t>
        </is>
      </c>
      <c r="U21" s="11" t="inlineStr">
        <is>
          <t>2026-10-25</t>
        </is>
      </c>
      <c r="V21" s="11" t="inlineStr">
        <is>
          <t>Not Contacted</t>
        </is>
      </c>
      <c r="W21" s="10" t="inlineStr">
        <is>
          <t>rest.co.il updated Jun 2026 with a user review dated 19 Aug 2025 (negative). Sources disagree on the cuisine label. The 074 number may be a directory routing number; confirm the direct line in person. Farther from the central cluster.</t>
        </is>
      </c>
    </row>
    <row r="22" ht="96" customHeight="1">
      <c r="A22" s="5" t="inlineStr">
        <is>
          <t>ברברה שו מתנות</t>
        </is>
      </c>
      <c r="B22" s="6" t="inlineStr">
        <is>
          <t>Barbara Shaw Gifts</t>
        </is>
      </c>
      <c r="C22" s="6" t="inlineStr">
        <is>
          <t>Gift / Judaica boutique</t>
        </is>
      </c>
      <c r="D22" s="7" t="inlineStr">
        <is>
          <t>Emek Refaim</t>
        </is>
      </c>
      <c r="E22" s="6" t="inlineStr">
        <is>
          <t>6 Emek Refaim St, German Colony, Jerusalem</t>
        </is>
      </c>
      <c r="F22" s="6" t="inlineStr">
        <is>
          <t>02-579-9621</t>
        </is>
      </c>
      <c r="G22" s="8" t="inlineStr">
        <is>
          <t>barbshaw@gmail.com</t>
        </is>
      </c>
      <c r="H22" s="8" t="inlineStr">
        <is>
          <t>https://www.barbarashawgifts.com/</t>
        </is>
      </c>
      <c r="I22" s="6" t="n"/>
      <c r="J22" s="6" t="n"/>
      <c r="K22" s="6" t="n"/>
      <c r="L22" s="6" t="n"/>
      <c r="M22" s="6" t="inlineStr">
        <is>
          <t>Designer-led brand of modern Jewish and Israeli gifts made in Jerusalem: mugs, totes, aprons, T-shirts, baby wear and holiday items.</t>
        </is>
      </c>
      <c r="N22" s="6" t="inlineStr">
        <is>
          <t>Gift and holiday shopping comes in seasons rather than every week, but a quirky local brand would benefit from the network's foot traffic. It sits at the northern start of Emek Refaim, where people begin walking the street.</t>
        </is>
      </c>
      <c r="O22" s="7" t="inlineStr">
        <is>
          <t>Low</t>
        </is>
      </c>
      <c r="P22" s="7" t="n">
        <v>4</v>
      </c>
      <c r="Q22" s="6" t="inlineStr">
        <is>
          <t>appears independent</t>
        </is>
      </c>
      <c r="R22" s="6" t="inlineStr">
        <is>
          <t>Email barbshaw@gmail.com</t>
        </is>
      </c>
      <c r="S22" s="8" t="inlineStr">
        <is>
          <t>https://www.barbarashawgifts.com/contact-us/</t>
        </is>
      </c>
      <c r="T22" s="8" t="inlineStr">
        <is>
          <t>https://www.barbarashawgifts.com/contact-us/</t>
        </is>
      </c>
      <c r="U22" s="7" t="inlineStr">
        <is>
          <t>2026-10-25</t>
        </is>
      </c>
      <c r="V22" s="7" t="inlineStr">
        <is>
          <t>Not Contacted</t>
        </is>
      </c>
      <c r="W22" s="6" t="inlineStr">
        <is>
          <t>Email and phone confirmed on the official contact page (2026-10-25). Local brand with two of its own shops (Emek Refaim 6 and Shlomtzion St), not a chain. The contact page lists first names (Barbara, Boaz) without roles, so no contact person is recorded. No 2025-26 dated evidence found.</t>
        </is>
      </c>
    </row>
    <row r="23" ht="96" customHeight="1">
      <c r="A23" s="9" t="inlineStr">
        <is>
          <t>סתיו תכשיטים</t>
        </is>
      </c>
      <c r="B23" s="10" t="inlineStr">
        <is>
          <t>Stav Jewelry</t>
        </is>
      </c>
      <c r="C23" s="10" t="inlineStr">
        <is>
          <t>Jewelry / gift boutique</t>
        </is>
      </c>
      <c r="D23" s="11" t="inlineStr">
        <is>
          <t>Emek Refaim</t>
        </is>
      </c>
      <c r="E23" s="10" t="inlineStr">
        <is>
          <t>40 Emek Refaim St, German Colony, Jerusalem</t>
        </is>
      </c>
      <c r="F23" s="10" t="inlineStr">
        <is>
          <t>02-563-7059</t>
        </is>
      </c>
      <c r="G23" s="12" t="inlineStr">
        <is>
          <t>stavjewelry@gmail.com</t>
        </is>
      </c>
      <c r="H23" s="12" t="inlineStr">
        <is>
          <t>http://www.stavjewelry.com/</t>
        </is>
      </c>
      <c r="I23" s="12" t="inlineStr">
        <is>
          <t>https://www.instagram.com/stav.jewelry</t>
        </is>
      </c>
      <c r="J23" s="12" t="inlineStr">
        <is>
          <t>https://www.facebook.com/stavjewelry</t>
        </is>
      </c>
      <c r="K23" s="10" t="inlineStr">
        <is>
          <t>Dalia Stav; Eyal Stav</t>
        </is>
      </c>
      <c r="L23" s="10" t="inlineStr">
        <is>
          <t>Founders / owners (designer couple)</t>
        </is>
      </c>
      <c r="M23" s="10" t="inlineStr">
        <is>
          <t>Jewelry designed and handmade in the shop's own workshop, in gold, silver and stones, since 1996.</t>
        </is>
      </c>
      <c r="N23" s="10" t="inlineStr">
        <is>
          <t>Few repeat purchases, but a long-standing, owner-run gift shop that would benefit from the network's discovery: café regulars finding a local gift shop. Its reward would be a higher-value gesture (e.g. a free repair or engraving) rather than stamps.</t>
        </is>
      </c>
      <c r="O23" s="11" t="inlineStr">
        <is>
          <t>Low</t>
        </is>
      </c>
      <c r="P23" s="11" t="n">
        <v>4</v>
      </c>
      <c r="Q23" s="10" t="inlineStr">
        <is>
          <t>verified independent</t>
        </is>
      </c>
      <c r="R23" s="10" t="inlineStr">
        <is>
          <t>Email stavjewelry@gmail.com</t>
        </is>
      </c>
      <c r="S23" s="12" t="inlineStr">
        <is>
          <t>http://www.stavjewelry.com/</t>
        </is>
      </c>
      <c r="T23" s="12" t="inlineStr">
        <is>
          <t>http://www.stavjewelry.com/</t>
        </is>
      </c>
      <c r="U23" s="11" t="inlineStr">
        <is>
          <t>2026-10-25</t>
        </is>
      </c>
      <c r="V23" s="11" t="inlineStr">
        <is>
          <t>Not Contacted</t>
        </is>
      </c>
      <c r="W23" s="10" t="inlineStr">
        <is>
          <t>Email and phone confirmed on the official site (2026-10-25); footer © 2026. Low purchase frequency, so better as a later-phase partner than a pilot anchor.</t>
        </is>
      </c>
    </row>
  </sheetData>
  <autoFilter ref="A3:W23"/>
  <conditionalFormatting sqref="P4:P23">
    <cfRule type="cellIs" priority="1" operator="greaterThanOrEqual" dxfId="0">
      <formula>8</formula>
    </cfRule>
    <cfRule type="cellIs" priority="2" operator="between" dxfId="1">
      <formula>6</formula>
      <formula>7</formula>
    </cfRule>
  </conditionalFormatting>
  <conditionalFormatting sqref="A4:B23">
    <cfRule type="expression" priority="3" dxfId="0">
      <formula>$P4&gt;=8</formula>
    </cfRule>
  </conditionalFormatting>
  <conditionalFormatting sqref="O4:O23">
    <cfRule type="cellIs" priority="4" operator="equal" dxfId="2">
      <formula>"High"</formula>
    </cfRule>
  </conditionalFormatting>
  <hyperlinks>
    <hyperlink xmlns:r="http://schemas.openxmlformats.org/officeDocument/2006/relationships" ref="H4" r:id="rId1"/>
    <hyperlink xmlns:r="http://schemas.openxmlformats.org/officeDocument/2006/relationships" ref="I4" r:id="rId2"/>
    <hyperlink xmlns:r="http://schemas.openxmlformats.org/officeDocument/2006/relationships" ref="J4" r:id="rId3"/>
    <hyperlink xmlns:r="http://schemas.openxmlformats.org/officeDocument/2006/relationships" ref="S4" r:id="rId4"/>
    <hyperlink xmlns:r="http://schemas.openxmlformats.org/officeDocument/2006/relationships" ref="T4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S5" r:id="rId10"/>
    <hyperlink xmlns:r="http://schemas.openxmlformats.org/officeDocument/2006/relationships" ref="T5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I6" r:id="rId14"/>
    <hyperlink xmlns:r="http://schemas.openxmlformats.org/officeDocument/2006/relationships" ref="J6" r:id="rId15"/>
    <hyperlink xmlns:r="http://schemas.openxmlformats.org/officeDocument/2006/relationships" ref="S6" r:id="rId16"/>
    <hyperlink xmlns:r="http://schemas.openxmlformats.org/officeDocument/2006/relationships" ref="T6" r:id="rId17"/>
    <hyperlink xmlns:r="http://schemas.openxmlformats.org/officeDocument/2006/relationships" ref="H7" r:id="rId18"/>
    <hyperlink xmlns:r="http://schemas.openxmlformats.org/officeDocument/2006/relationships" ref="I7" r:id="rId19"/>
    <hyperlink xmlns:r="http://schemas.openxmlformats.org/officeDocument/2006/relationships" ref="S7" r:id="rId20"/>
    <hyperlink xmlns:r="http://schemas.openxmlformats.org/officeDocument/2006/relationships" ref="T7" r:id="rId21"/>
    <hyperlink xmlns:r="http://schemas.openxmlformats.org/officeDocument/2006/relationships" ref="H8" r:id="rId22"/>
    <hyperlink xmlns:r="http://schemas.openxmlformats.org/officeDocument/2006/relationships" ref="S8" r:id="rId23"/>
    <hyperlink xmlns:r="http://schemas.openxmlformats.org/officeDocument/2006/relationships" ref="T8" r:id="rId24"/>
    <hyperlink xmlns:r="http://schemas.openxmlformats.org/officeDocument/2006/relationships" ref="J9" r:id="rId25"/>
    <hyperlink xmlns:r="http://schemas.openxmlformats.org/officeDocument/2006/relationships" ref="S9" r:id="rId26"/>
    <hyperlink xmlns:r="http://schemas.openxmlformats.org/officeDocument/2006/relationships" ref="T9" r:id="rId27"/>
    <hyperlink xmlns:r="http://schemas.openxmlformats.org/officeDocument/2006/relationships" ref="H10" r:id="rId28"/>
    <hyperlink xmlns:r="http://schemas.openxmlformats.org/officeDocument/2006/relationships" ref="J10" r:id="rId29"/>
    <hyperlink xmlns:r="http://schemas.openxmlformats.org/officeDocument/2006/relationships" ref="S10" r:id="rId30"/>
    <hyperlink xmlns:r="http://schemas.openxmlformats.org/officeDocument/2006/relationships" ref="T10" r:id="rId31"/>
    <hyperlink xmlns:r="http://schemas.openxmlformats.org/officeDocument/2006/relationships" ref="J11" r:id="rId32"/>
    <hyperlink xmlns:r="http://schemas.openxmlformats.org/officeDocument/2006/relationships" ref="S11" r:id="rId33"/>
    <hyperlink xmlns:r="http://schemas.openxmlformats.org/officeDocument/2006/relationships" ref="T11" r:id="rId34"/>
    <hyperlink xmlns:r="http://schemas.openxmlformats.org/officeDocument/2006/relationships" ref="G12" r:id="rId35"/>
    <hyperlink xmlns:r="http://schemas.openxmlformats.org/officeDocument/2006/relationships" ref="H12" r:id="rId36"/>
    <hyperlink xmlns:r="http://schemas.openxmlformats.org/officeDocument/2006/relationships" ref="J12" r:id="rId37"/>
    <hyperlink xmlns:r="http://schemas.openxmlformats.org/officeDocument/2006/relationships" ref="S12" r:id="rId38"/>
    <hyperlink xmlns:r="http://schemas.openxmlformats.org/officeDocument/2006/relationships" ref="T12" r:id="rId39"/>
    <hyperlink xmlns:r="http://schemas.openxmlformats.org/officeDocument/2006/relationships" ref="G13" r:id="rId40"/>
    <hyperlink xmlns:r="http://schemas.openxmlformats.org/officeDocument/2006/relationships" ref="H13" r:id="rId41"/>
    <hyperlink xmlns:r="http://schemas.openxmlformats.org/officeDocument/2006/relationships" ref="S13" r:id="rId42"/>
    <hyperlink xmlns:r="http://schemas.openxmlformats.org/officeDocument/2006/relationships" ref="T13" r:id="rId43"/>
    <hyperlink xmlns:r="http://schemas.openxmlformats.org/officeDocument/2006/relationships" ref="H14" r:id="rId44"/>
    <hyperlink xmlns:r="http://schemas.openxmlformats.org/officeDocument/2006/relationships" ref="I14" r:id="rId45"/>
    <hyperlink xmlns:r="http://schemas.openxmlformats.org/officeDocument/2006/relationships" ref="J14" r:id="rId46"/>
    <hyperlink xmlns:r="http://schemas.openxmlformats.org/officeDocument/2006/relationships" ref="S14" r:id="rId47"/>
    <hyperlink xmlns:r="http://schemas.openxmlformats.org/officeDocument/2006/relationships" ref="T14" r:id="rId48"/>
    <hyperlink xmlns:r="http://schemas.openxmlformats.org/officeDocument/2006/relationships" ref="H15" r:id="rId49"/>
    <hyperlink xmlns:r="http://schemas.openxmlformats.org/officeDocument/2006/relationships" ref="J15" r:id="rId50"/>
    <hyperlink xmlns:r="http://schemas.openxmlformats.org/officeDocument/2006/relationships" ref="S15" r:id="rId51"/>
    <hyperlink xmlns:r="http://schemas.openxmlformats.org/officeDocument/2006/relationships" ref="T15" r:id="rId52"/>
    <hyperlink xmlns:r="http://schemas.openxmlformats.org/officeDocument/2006/relationships" ref="S16" r:id="rId53"/>
    <hyperlink xmlns:r="http://schemas.openxmlformats.org/officeDocument/2006/relationships" ref="T16" r:id="rId54"/>
    <hyperlink xmlns:r="http://schemas.openxmlformats.org/officeDocument/2006/relationships" ref="J17" r:id="rId55"/>
    <hyperlink xmlns:r="http://schemas.openxmlformats.org/officeDocument/2006/relationships" ref="S17" r:id="rId56"/>
    <hyperlink xmlns:r="http://schemas.openxmlformats.org/officeDocument/2006/relationships" ref="T17" r:id="rId57"/>
    <hyperlink xmlns:r="http://schemas.openxmlformats.org/officeDocument/2006/relationships" ref="H18" r:id="rId58"/>
    <hyperlink xmlns:r="http://schemas.openxmlformats.org/officeDocument/2006/relationships" ref="I18" r:id="rId59"/>
    <hyperlink xmlns:r="http://schemas.openxmlformats.org/officeDocument/2006/relationships" ref="S18" r:id="rId60"/>
    <hyperlink xmlns:r="http://schemas.openxmlformats.org/officeDocument/2006/relationships" ref="T18" r:id="rId61"/>
    <hyperlink xmlns:r="http://schemas.openxmlformats.org/officeDocument/2006/relationships" ref="S19" r:id="rId62"/>
    <hyperlink xmlns:r="http://schemas.openxmlformats.org/officeDocument/2006/relationships" ref="T19" r:id="rId63"/>
    <hyperlink xmlns:r="http://schemas.openxmlformats.org/officeDocument/2006/relationships" ref="S20" r:id="rId64"/>
    <hyperlink xmlns:r="http://schemas.openxmlformats.org/officeDocument/2006/relationships" ref="T20" r:id="rId65"/>
    <hyperlink xmlns:r="http://schemas.openxmlformats.org/officeDocument/2006/relationships" ref="S21" r:id="rId66"/>
    <hyperlink xmlns:r="http://schemas.openxmlformats.org/officeDocument/2006/relationships" ref="T21" r:id="rId67"/>
    <hyperlink xmlns:r="http://schemas.openxmlformats.org/officeDocument/2006/relationships" ref="G22" r:id="rId68"/>
    <hyperlink xmlns:r="http://schemas.openxmlformats.org/officeDocument/2006/relationships" ref="H22" r:id="rId69"/>
    <hyperlink xmlns:r="http://schemas.openxmlformats.org/officeDocument/2006/relationships" ref="S22" r:id="rId70"/>
    <hyperlink xmlns:r="http://schemas.openxmlformats.org/officeDocument/2006/relationships" ref="T22" r:id="rId71"/>
    <hyperlink xmlns:r="http://schemas.openxmlformats.org/officeDocument/2006/relationships" ref="G23" r:id="rId72"/>
    <hyperlink xmlns:r="http://schemas.openxmlformats.org/officeDocument/2006/relationships" ref="H23" r:id="rId73"/>
    <hyperlink xmlns:r="http://schemas.openxmlformats.org/officeDocument/2006/relationships" ref="I23" r:id="rId74"/>
    <hyperlink xmlns:r="http://schemas.openxmlformats.org/officeDocument/2006/relationships" ref="J23" r:id="rId75"/>
    <hyperlink xmlns:r="http://schemas.openxmlformats.org/officeDocument/2006/relationships" ref="S23" r:id="rId76"/>
    <hyperlink xmlns:r="http://schemas.openxmlformats.org/officeDocument/2006/relationships" ref="T23" r:id="rId7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</cols>
  <sheetData>
    <row r="1">
      <c r="A1" s="1" t="inlineStr">
        <is>
          <t>Perko - Prospect Summary</t>
        </is>
      </c>
      <c r="B1" s="2" t="n"/>
      <c r="C1" s="2" t="n"/>
    </row>
    <row r="2">
      <c r="A2" s="13" t="inlineStr">
        <is>
          <t>Counts are formulas over the Prospects sheet, so they update when rows are edited.</t>
        </is>
      </c>
    </row>
    <row r="4">
      <c r="A4" s="14" t="inlineStr">
        <is>
          <t>Totals</t>
        </is>
      </c>
      <c r="B4" s="15" t="n"/>
      <c r="C4" s="15" t="n"/>
    </row>
    <row r="5">
      <c r="A5" s="16" t="inlineStr">
        <is>
          <t>Businesses in the list</t>
        </is>
      </c>
      <c r="B5" s="16">
        <f>COUNTA(Prospects!$B$4:$B$23)</f>
        <v/>
      </c>
      <c r="C5" s="16" t="n"/>
    </row>
    <row r="7">
      <c r="A7" s="14" t="inlineStr">
        <is>
          <t>By street</t>
        </is>
      </c>
      <c r="B7" s="15" t="n"/>
      <c r="C7" s="15" t="n"/>
    </row>
    <row r="8">
      <c r="A8" s="17" t="inlineStr">
        <is>
          <t>Derech Beit Lehem</t>
        </is>
      </c>
      <c r="B8" s="17">
        <f>COUNTIF(Prospects!$D$4:$D$23,"Derech Beit Lehem")</f>
        <v/>
      </c>
      <c r="C8" s="18">
        <f>B8/20</f>
        <v/>
      </c>
    </row>
    <row r="9">
      <c r="A9" s="19" t="inlineStr">
        <is>
          <t>Emek Refaim</t>
        </is>
      </c>
      <c r="B9" s="19">
        <f>COUNTIF(Prospects!$D$4:$D$23,"Emek Refaim")</f>
        <v/>
      </c>
      <c r="C9" s="20">
        <f>B9/20</f>
        <v/>
      </c>
    </row>
    <row r="11">
      <c r="A11" s="14" t="inlineStr">
        <is>
          <t>By business category</t>
        </is>
      </c>
      <c r="B11" s="15" t="n"/>
      <c r="C11" s="15" t="n"/>
    </row>
    <row r="12">
      <c r="A12" s="17" t="inlineStr">
        <is>
          <t>Florist</t>
        </is>
      </c>
      <c r="B12" s="17">
        <f>COUNTIF(Prospects!$C$4:$C$23,"Florist")</f>
        <v/>
      </c>
      <c r="C12" s="18">
        <f>B12/20</f>
        <v/>
      </c>
    </row>
    <row r="13">
      <c r="A13" s="19" t="inlineStr">
        <is>
          <t>Café / coffee roaster</t>
        </is>
      </c>
      <c r="B13" s="19">
        <f>COUNTIF(Prospects!$C$4:$C$23,"Café / coffee roaster")</f>
        <v/>
      </c>
      <c r="C13" s="20">
        <f>B13/20</f>
        <v/>
      </c>
    </row>
    <row r="14">
      <c r="A14" s="17" t="inlineStr">
        <is>
          <t>Casual restaurant</t>
        </is>
      </c>
      <c r="B14" s="17">
        <f>COUNTIF(Prospects!$C$4:$C$23,"Casual restaurant")</f>
        <v/>
      </c>
      <c r="C14" s="18">
        <f>B14/20</f>
        <v/>
      </c>
    </row>
    <row r="15">
      <c r="A15" s="19" t="inlineStr">
        <is>
          <t>Café / deli</t>
        </is>
      </c>
      <c r="B15" s="19">
        <f>COUNTIF(Prospects!$C$4:$C$23,"Café / deli")</f>
        <v/>
      </c>
      <c r="C15" s="20">
        <f>B15/20</f>
        <v/>
      </c>
    </row>
    <row r="16">
      <c r="A16" s="17" t="inlineStr">
        <is>
          <t>Café / bakery</t>
        </is>
      </c>
      <c r="B16" s="17">
        <f>COUNTIF(Prospects!$C$4:$C$23,"Café / bakery")</f>
        <v/>
      </c>
      <c r="C16" s="18">
        <f>B16/20</f>
        <v/>
      </c>
    </row>
    <row r="17">
      <c r="A17" s="19" t="inlineStr">
        <is>
          <t>Café</t>
        </is>
      </c>
      <c r="B17" s="19">
        <f>COUNTIF(Prospects!$C$4:$C$23,"Café")</f>
        <v/>
      </c>
      <c r="C17" s="20">
        <f>B17/20</f>
        <v/>
      </c>
    </row>
    <row r="18">
      <c r="A18" s="17" t="inlineStr">
        <is>
          <t>Ice cream / gelato</t>
        </is>
      </c>
      <c r="B18" s="17">
        <f>COUNTIF(Prospects!$C$4:$C$23,"Ice cream / gelato")</f>
        <v/>
      </c>
      <c r="C18" s="18">
        <f>B18/20</f>
        <v/>
      </c>
    </row>
    <row r="19">
      <c r="A19" s="19" t="inlineStr">
        <is>
          <t>Deli / tapas bar</t>
        </is>
      </c>
      <c r="B19" s="19">
        <f>COUNTIF(Prospects!$C$4:$C$23,"Deli / tapas bar")</f>
        <v/>
      </c>
      <c r="C19" s="20">
        <f>B19/20</f>
        <v/>
      </c>
    </row>
    <row r="20">
      <c r="A20" s="17" t="inlineStr">
        <is>
          <t>Café / restaurant</t>
        </is>
      </c>
      <c r="B20" s="17">
        <f>COUNTIF(Prospects!$C$4:$C$23,"Café / restaurant")</f>
        <v/>
      </c>
      <c r="C20" s="18">
        <f>B20/20</f>
        <v/>
      </c>
    </row>
    <row r="21">
      <c r="A21" s="19" t="inlineStr">
        <is>
          <t>Butcher / deli</t>
        </is>
      </c>
      <c r="B21" s="19">
        <f>COUNTIF(Prospects!$C$4:$C$23,"Butcher / deli")</f>
        <v/>
      </c>
      <c r="C21" s="20">
        <f>B21/20</f>
        <v/>
      </c>
    </row>
    <row r="22">
      <c r="A22" s="17" t="inlineStr">
        <is>
          <t>Bakery / café</t>
        </is>
      </c>
      <c r="B22" s="17">
        <f>COUNTIF(Prospects!$C$4:$C$23,"Bakery / café")</f>
        <v/>
      </c>
      <c r="C22" s="18">
        <f>B22/20</f>
        <v/>
      </c>
    </row>
    <row r="23">
      <c r="A23" s="19" t="inlineStr">
        <is>
          <t>Tea house / café</t>
        </is>
      </c>
      <c r="B23" s="19">
        <f>COUNTIF(Prospects!$C$4:$C$23,"Tea house / café")</f>
        <v/>
      </c>
      <c r="C23" s="20">
        <f>B23/20</f>
        <v/>
      </c>
    </row>
    <row r="24">
      <c r="A24" s="17" t="inlineStr">
        <is>
          <t>Restaurant / bakery</t>
        </is>
      </c>
      <c r="B24" s="17">
        <f>COUNTIF(Prospects!$C$4:$C$23,"Restaurant / bakery")</f>
        <v/>
      </c>
      <c r="C24" s="18">
        <f>B24/20</f>
        <v/>
      </c>
    </row>
    <row r="25">
      <c r="A25" s="19" t="inlineStr">
        <is>
          <t>Restaurant / bar</t>
        </is>
      </c>
      <c r="B25" s="19">
        <f>COUNTIF(Prospects!$C$4:$C$23,"Restaurant / bar")</f>
        <v/>
      </c>
      <c r="C25" s="20">
        <f>B25/20</f>
        <v/>
      </c>
    </row>
    <row r="26">
      <c r="A26" s="17" t="inlineStr">
        <is>
          <t>Gift / Judaica boutique</t>
        </is>
      </c>
      <c r="B26" s="17">
        <f>COUNTIF(Prospects!$C$4:$C$23,"Gift / Judaica boutique")</f>
        <v/>
      </c>
      <c r="C26" s="18">
        <f>B26/20</f>
        <v/>
      </c>
    </row>
    <row r="27">
      <c r="A27" s="19" t="inlineStr">
        <is>
          <t>Jewelry / gift boutique</t>
        </is>
      </c>
      <c r="B27" s="19">
        <f>COUNTIF(Prospects!$C$4:$C$23,"Jewelry / gift boutique")</f>
        <v/>
      </c>
      <c r="C27" s="20">
        <f>B27/20</f>
        <v/>
      </c>
    </row>
    <row r="29">
      <c r="A29" s="14" t="inlineStr">
        <is>
          <t>By Perko fit score</t>
        </is>
      </c>
      <c r="B29" s="15" t="n"/>
      <c r="C29" s="15" t="n"/>
    </row>
    <row r="30">
      <c r="A30" s="17" t="inlineStr">
        <is>
          <t>High fit (8-10)</t>
        </is>
      </c>
      <c r="B30" s="17">
        <f>COUNTIFS(Prospects!$P$4:$P$23,"&gt;=8",Prospects!$P$4:$P$23,"&lt;=10")</f>
        <v/>
      </c>
      <c r="C30" s="18">
        <f>B30/20</f>
        <v/>
      </c>
    </row>
    <row r="31">
      <c r="A31" s="19" t="inlineStr">
        <is>
          <t>Medium fit (6-7)</t>
        </is>
      </c>
      <c r="B31" s="19">
        <f>COUNTIFS(Prospects!$P$4:$P$23,"&gt;=6",Prospects!$P$4:$P$23,"&lt;=7")</f>
        <v/>
      </c>
      <c r="C31" s="20">
        <f>B31/20</f>
        <v/>
      </c>
    </row>
    <row r="32">
      <c r="A32" s="17" t="inlineStr">
        <is>
          <t>Lower fit (1-5)</t>
        </is>
      </c>
      <c r="B32" s="17">
        <f>COUNTIFS(Prospects!$P$4:$P$23,"&gt;=1",Prospects!$P$4:$P$23,"&lt;=5")</f>
        <v/>
      </c>
      <c r="C32" s="18">
        <f>B32/20</f>
        <v/>
      </c>
    </row>
    <row r="33">
      <c r="A33" s="19" t="inlineStr">
        <is>
          <t>Average fit score</t>
        </is>
      </c>
      <c r="B33" s="19">
        <f>ROUND(AVERAGE(Prospects!$P$4:$P$23),1)</f>
        <v/>
      </c>
      <c r="C33" s="19" t="n"/>
    </row>
    <row r="35">
      <c r="A35" s="14" t="inlineStr">
        <is>
          <t>By repeat-customer potential</t>
        </is>
      </c>
      <c r="B35" s="15" t="n"/>
      <c r="C35" s="15" t="n"/>
    </row>
    <row r="36">
      <c r="A36" s="17" t="inlineStr">
        <is>
          <t>High</t>
        </is>
      </c>
      <c r="B36" s="17">
        <f>COUNTIF(Prospects!$O$4:$O$23,"High")</f>
        <v/>
      </c>
      <c r="C36" s="18">
        <f>B36/20</f>
        <v/>
      </c>
    </row>
    <row r="37">
      <c r="A37" s="19" t="inlineStr">
        <is>
          <t>Medium</t>
        </is>
      </c>
      <c r="B37" s="19">
        <f>COUNTIF(Prospects!$O$4:$O$23,"Medium")</f>
        <v/>
      </c>
      <c r="C37" s="20">
        <f>B37/20</f>
        <v/>
      </c>
    </row>
    <row r="38">
      <c r="A38" s="17" t="inlineStr">
        <is>
          <t>Low</t>
        </is>
      </c>
      <c r="B38" s="17">
        <f>COUNTIF(Prospects!$O$4:$O$23,"Low")</f>
        <v/>
      </c>
      <c r="C38" s="18">
        <f>B38/20</f>
        <v/>
      </c>
    </row>
    <row r="40">
      <c r="A40" s="14" t="inlineStr">
        <is>
          <t>Contact-information completeness</t>
        </is>
      </c>
      <c r="B40" s="15" t="n"/>
      <c r="C40" s="15" t="n"/>
    </row>
    <row r="41">
      <c r="A41" s="19" t="inlineStr">
        <is>
          <t>Public phone listed (official site, directory or press)</t>
        </is>
      </c>
      <c r="B41" s="19">
        <f>COUNTA(Prospects!$F$4:$F$23)</f>
        <v/>
      </c>
      <c r="C41" s="20">
        <f>B41/20</f>
        <v/>
      </c>
    </row>
    <row r="42">
      <c r="A42" s="17" t="inlineStr">
        <is>
          <t>Public email published by the business</t>
        </is>
      </c>
      <c r="B42" s="17">
        <f>COUNTA(Prospects!$G$4:$G$23)</f>
        <v/>
      </c>
      <c r="C42" s="18">
        <f>B42/20</f>
        <v/>
      </c>
    </row>
    <row r="43">
      <c r="A43" s="19" t="inlineStr">
        <is>
          <t>Official website</t>
        </is>
      </c>
      <c r="B43" s="19">
        <f>COUNTA(Prospects!$H$4:$H$23)</f>
        <v/>
      </c>
      <c r="C43" s="20">
        <f>B43/20</f>
        <v/>
      </c>
    </row>
    <row r="44">
      <c r="A44" s="17" t="inlineStr">
        <is>
          <t>Instagram profile</t>
        </is>
      </c>
      <c r="B44" s="17">
        <f>COUNTA(Prospects!$I$4:$I$23)</f>
        <v/>
      </c>
      <c r="C44" s="18">
        <f>B44/20</f>
        <v/>
      </c>
    </row>
    <row r="45">
      <c r="A45" s="19" t="inlineStr">
        <is>
          <t>Other social profile</t>
        </is>
      </c>
      <c r="B45" s="19">
        <f>COUNTA(Prospects!$J$4:$J$23)</f>
        <v/>
      </c>
      <c r="C45" s="20">
        <f>B45/20</f>
        <v/>
      </c>
    </row>
    <row r="46">
      <c r="A46" s="17" t="inlineStr">
        <is>
          <t>Named contact person</t>
        </is>
      </c>
      <c r="B46" s="17">
        <f>COUNTA(Prospects!$K$4:$K$23)</f>
        <v/>
      </c>
      <c r="C46" s="18">
        <f>B46/20</f>
        <v/>
      </c>
    </row>
    <row r="47">
      <c r="A47" s="19" t="inlineStr">
        <is>
          <t>Phone confirmed on the business's own site</t>
        </is>
      </c>
      <c r="B47" s="19" t="n">
        <v>12</v>
      </c>
      <c r="C47" s="20" t="n">
        <v>0.6</v>
      </c>
    </row>
    <row r="49">
      <c r="A49" s="14" t="inlineStr">
        <is>
          <t>Independence status</t>
        </is>
      </c>
      <c r="B49" s="15" t="n"/>
      <c r="C49" s="15" t="n"/>
    </row>
    <row r="50">
      <c r="A50" s="17" t="inlineStr">
        <is>
          <t>verified independent</t>
        </is>
      </c>
      <c r="B50" s="17">
        <f>COUNTIF(Prospects!$Q$4:$Q$23,"verified independent")</f>
        <v/>
      </c>
      <c r="C50" s="18">
        <f>B50/20</f>
        <v/>
      </c>
    </row>
    <row r="51">
      <c r="A51" s="19" t="inlineStr">
        <is>
          <t>appears independent</t>
        </is>
      </c>
      <c r="B51" s="19">
        <f>COUNTIF(Prospects!$Q$4:$Q$23,"appears independent")</f>
        <v/>
      </c>
      <c r="C51" s="20">
        <f>B51/20</f>
        <v/>
      </c>
    </row>
    <row r="52">
      <c r="A52" s="17" t="inlineStr">
        <is>
          <t>uncertain</t>
        </is>
      </c>
      <c r="B52" s="17">
        <f>COUNTIF(Prospects!$Q$4:$Q$23,"uncertain")</f>
        <v/>
      </c>
      <c r="C52" s="18">
        <f>B52/20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2026-10-25T06:35:07Z</dcterms:created>
  <dcterms:modified xmlns:dcterms="http://purl.org/dc/terms/" xmlns:xsi="http://www.w3.org/2001/XMLSchema-instance" xsi:type="dcterms:W3CDTF">2026-10-25T06:35:07Z</dcterms:modified>
</cp:coreProperties>
</file>